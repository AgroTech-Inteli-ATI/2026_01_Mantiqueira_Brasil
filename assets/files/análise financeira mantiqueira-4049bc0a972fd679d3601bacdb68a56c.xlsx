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eu\OneDrive\Documentos\"/>
    </mc:Choice>
  </mc:AlternateContent>
  <xr:revisionPtr revIDLastSave="0" documentId="13_ncr:1_{11227815-298E-467A-BFF2-F2A810441A3E}" xr6:coauthVersionLast="47" xr6:coauthVersionMax="47" xr10:uidLastSave="{00000000-0000-0000-0000-000000000000}"/>
  <bookViews>
    <workbookView xWindow="-108" yWindow="-108" windowWidth="23256" windowHeight="12456" xr2:uid="{F1F779D7-F332-4B8F-84BE-22052A14CC50}"/>
  </bookViews>
  <sheets>
    <sheet name="Página1" sheetId="1" r:id="rId1"/>
    <sheet name="DRE" sheetId="4" r:id="rId2"/>
    <sheet name="CAPEX" sheetId="5" r:id="rId3"/>
    <sheet name="Dívida" sheetId="6" r:id="rId4"/>
    <sheet name="Cenários" sheetId="7" r:id="rId5"/>
    <sheet name="Fluxo de Caixa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" i="8" l="1"/>
  <c r="I13" i="8"/>
  <c r="H13" i="8"/>
  <c r="G13" i="8"/>
  <c r="F13" i="8"/>
  <c r="E13" i="8"/>
  <c r="D12" i="8"/>
  <c r="D3" i="8"/>
  <c r="D15" i="8" s="1"/>
  <c r="D20" i="5"/>
  <c r="D21" i="5" s="1"/>
  <c r="D3" i="5" s="1"/>
  <c r="B12" i="7"/>
  <c r="B30" i="7" s="1"/>
  <c r="B11" i="7"/>
  <c r="B17" i="7" s="1"/>
  <c r="B10" i="7"/>
  <c r="B22" i="7" s="1"/>
  <c r="D9" i="7"/>
  <c r="D21" i="7" s="1"/>
  <c r="I19" i="4"/>
  <c r="H19" i="4"/>
  <c r="G19" i="4"/>
  <c r="F19" i="4"/>
  <c r="D20" i="4"/>
  <c r="E19" i="4"/>
  <c r="D19" i="4"/>
  <c r="D16" i="4"/>
  <c r="E58" i="1"/>
  <c r="F58" i="1" s="1"/>
  <c r="G58" i="1" s="1"/>
  <c r="H58" i="1" s="1"/>
  <c r="I58" i="1" s="1"/>
  <c r="D55" i="1"/>
  <c r="D51" i="1"/>
  <c r="D46" i="1"/>
  <c r="D13" i="4" s="1"/>
  <c r="E39" i="1"/>
  <c r="F39" i="1" s="1"/>
  <c r="E37" i="1"/>
  <c r="F37" i="1" s="1"/>
  <c r="G37" i="1" s="1"/>
  <c r="H37" i="1" s="1"/>
  <c r="I37" i="1" s="1"/>
  <c r="E35" i="1"/>
  <c r="F35" i="1" s="1"/>
  <c r="D34" i="1"/>
  <c r="E30" i="1"/>
  <c r="F30" i="1" s="1"/>
  <c r="G30" i="1" s="1"/>
  <c r="H30" i="1" s="1"/>
  <c r="I30" i="1" s="1"/>
  <c r="E19" i="1"/>
  <c r="F19" i="1" s="1"/>
  <c r="G19" i="1" s="1"/>
  <c r="H19" i="1" s="1"/>
  <c r="I19" i="1" s="1"/>
  <c r="E13" i="1"/>
  <c r="F13" i="1" s="1"/>
  <c r="G13" i="1" s="1"/>
  <c r="H13" i="1" s="1"/>
  <c r="I13" i="1" s="1"/>
  <c r="D11" i="1"/>
  <c r="E10" i="1"/>
  <c r="F10" i="1" s="1"/>
  <c r="G10" i="1" s="1"/>
  <c r="H10" i="1" s="1"/>
  <c r="I10" i="1" s="1"/>
  <c r="E9" i="1"/>
  <c r="F9" i="1" s="1"/>
  <c r="D8" i="1"/>
  <c r="D44" i="1" s="1"/>
  <c r="D12" i="4" s="1"/>
  <c r="E7" i="1"/>
  <c r="F7" i="1" s="1"/>
  <c r="G7" i="1" s="1"/>
  <c r="H7" i="1" s="1"/>
  <c r="I7" i="1" s="1"/>
  <c r="E6" i="1"/>
  <c r="F6" i="1" s="1"/>
  <c r="G6" i="1" s="1"/>
  <c r="H6" i="1" s="1"/>
  <c r="I6" i="1" s="1"/>
  <c r="E5" i="1"/>
  <c r="E4" i="1"/>
  <c r="E45" i="1" s="1"/>
  <c r="E2" i="1"/>
  <c r="F2" i="1" s="1"/>
  <c r="J9" i="5"/>
  <c r="K9" i="5" s="1"/>
  <c r="L9" i="5" s="1"/>
  <c r="M9" i="5" s="1"/>
  <c r="N9" i="5" s="1"/>
  <c r="D2" i="4"/>
  <c r="E2" i="4" s="1"/>
  <c r="F2" i="4" s="1"/>
  <c r="G2" i="4" s="1"/>
  <c r="H2" i="4" s="1"/>
  <c r="I2" i="4" s="1"/>
  <c r="D12" i="6"/>
  <c r="D8" i="6"/>
  <c r="E2" i="6"/>
  <c r="E12" i="6" s="1"/>
  <c r="D7" i="5"/>
  <c r="E2" i="5"/>
  <c r="F2" i="5" s="1"/>
  <c r="E3" i="1" l="1"/>
  <c r="E8" i="1"/>
  <c r="B16" i="7"/>
  <c r="D15" i="7"/>
  <c r="E24" i="1"/>
  <c r="E26" i="1"/>
  <c r="E47" i="1"/>
  <c r="E46" i="1" s="1"/>
  <c r="E7" i="8" s="1"/>
  <c r="B24" i="7"/>
  <c r="F4" i="1"/>
  <c r="F3" i="1" s="1"/>
  <c r="D12" i="1"/>
  <c r="D25" i="1" s="1"/>
  <c r="E36" i="1"/>
  <c r="E7" i="5"/>
  <c r="E11" i="1"/>
  <c r="E12" i="1" s="1"/>
  <c r="G2" i="1"/>
  <c r="F3" i="8"/>
  <c r="F15" i="8" s="1"/>
  <c r="F9" i="7"/>
  <c r="D38" i="1"/>
  <c r="D33" i="1" s="1"/>
  <c r="F10" i="5"/>
  <c r="D3" i="6"/>
  <c r="D5" i="6" s="1"/>
  <c r="H15" i="6" s="1"/>
  <c r="G10" i="5"/>
  <c r="G16" i="4" s="1"/>
  <c r="D9" i="5"/>
  <c r="H10" i="5"/>
  <c r="E10" i="5"/>
  <c r="D22" i="8"/>
  <c r="I10" i="5"/>
  <c r="E38" i="1"/>
  <c r="E44" i="1"/>
  <c r="E12" i="4" s="1"/>
  <c r="G2" i="5"/>
  <c r="G7" i="5" s="1"/>
  <c r="F7" i="5"/>
  <c r="D14" i="1"/>
  <c r="D15" i="1"/>
  <c r="D23" i="1" s="1"/>
  <c r="D27" i="7"/>
  <c r="E9" i="7"/>
  <c r="B18" i="7"/>
  <c r="B28" i="7"/>
  <c r="E3" i="8"/>
  <c r="E15" i="8" s="1"/>
  <c r="B23" i="7"/>
  <c r="B29" i="7"/>
  <c r="F2" i="6"/>
  <c r="E28" i="1"/>
  <c r="F5" i="1"/>
  <c r="G5" i="1" s="1"/>
  <c r="H5" i="1" s="1"/>
  <c r="F38" i="1"/>
  <c r="E31" i="1"/>
  <c r="D7" i="8"/>
  <c r="E34" i="1"/>
  <c r="F15" i="6"/>
  <c r="F16" i="4"/>
  <c r="F11" i="1"/>
  <c r="G39" i="1"/>
  <c r="G35" i="1"/>
  <c r="G9" i="1"/>
  <c r="F31" i="1" l="1"/>
  <c r="F36" i="1"/>
  <c r="F34" i="1" s="1"/>
  <c r="F33" i="1" s="1"/>
  <c r="F6" i="8" s="1"/>
  <c r="E33" i="1"/>
  <c r="E13" i="4"/>
  <c r="F45" i="1"/>
  <c r="F28" i="1"/>
  <c r="H2" i="5"/>
  <c r="H7" i="5" s="1"/>
  <c r="F24" i="1"/>
  <c r="F26" i="1"/>
  <c r="G8" i="1"/>
  <c r="G15" i="6"/>
  <c r="F8" i="1"/>
  <c r="F44" i="1" s="1"/>
  <c r="F12" i="4" s="1"/>
  <c r="F47" i="1"/>
  <c r="F46" i="1" s="1"/>
  <c r="F13" i="4" s="1"/>
  <c r="G4" i="1"/>
  <c r="G28" i="1" s="1"/>
  <c r="F51" i="1"/>
  <c r="F12" i="8"/>
  <c r="D29" i="1"/>
  <c r="D27" i="1"/>
  <c r="D11" i="7"/>
  <c r="D12" i="7"/>
  <c r="D10" i="7"/>
  <c r="D17" i="1"/>
  <c r="E21" i="7"/>
  <c r="E27" i="7"/>
  <c r="E15" i="7"/>
  <c r="I15" i="6"/>
  <c r="E9" i="4"/>
  <c r="E6" i="8"/>
  <c r="D9" i="4"/>
  <c r="D6" i="8"/>
  <c r="F21" i="7"/>
  <c r="F15" i="7"/>
  <c r="F27" i="7"/>
  <c r="E51" i="1"/>
  <c r="E16" i="4"/>
  <c r="E12" i="8"/>
  <c r="E14" i="1"/>
  <c r="E27" i="1" s="1"/>
  <c r="E25" i="1"/>
  <c r="H2" i="1"/>
  <c r="G3" i="8"/>
  <c r="G15" i="8" s="1"/>
  <c r="G9" i="7"/>
  <c r="E15" i="1"/>
  <c r="E23" i="1" s="1"/>
  <c r="J10" i="5"/>
  <c r="K10" i="5" s="1"/>
  <c r="L10" i="5" s="1"/>
  <c r="M10" i="5" s="1"/>
  <c r="N10" i="5" s="1"/>
  <c r="I12" i="8"/>
  <c r="I51" i="1"/>
  <c r="I16" i="4"/>
  <c r="H16" i="4"/>
  <c r="H51" i="1"/>
  <c r="H12" i="8"/>
  <c r="G51" i="1"/>
  <c r="G12" i="8"/>
  <c r="D14" i="6"/>
  <c r="D16" i="6" s="1"/>
  <c r="F12" i="6"/>
  <c r="G2" i="6"/>
  <c r="D13" i="8"/>
  <c r="D11" i="5"/>
  <c r="H9" i="1"/>
  <c r="G11" i="1"/>
  <c r="H35" i="1"/>
  <c r="H39" i="1"/>
  <c r="G38" i="1"/>
  <c r="G24" i="1"/>
  <c r="I5" i="1"/>
  <c r="I8" i="1" s="1"/>
  <c r="H8" i="1"/>
  <c r="E13" i="6" l="1"/>
  <c r="E18" i="6" s="1"/>
  <c r="E8" i="5"/>
  <c r="E11" i="5" s="1"/>
  <c r="F8" i="5" s="1"/>
  <c r="F11" i="5" s="1"/>
  <c r="G8" i="5" s="1"/>
  <c r="G11" i="5" s="1"/>
  <c r="H8" i="5" s="1"/>
  <c r="H11" i="5" s="1"/>
  <c r="I8" i="5" s="1"/>
  <c r="I11" i="5" s="1"/>
  <c r="J8" i="5" s="1"/>
  <c r="G12" i="1"/>
  <c r="I2" i="5"/>
  <c r="I7" i="5" s="1"/>
  <c r="G26" i="1"/>
  <c r="F12" i="1"/>
  <c r="F25" i="1" s="1"/>
  <c r="F7" i="8"/>
  <c r="G36" i="1"/>
  <c r="G34" i="1" s="1"/>
  <c r="G33" i="1" s="1"/>
  <c r="G6" i="8" s="1"/>
  <c r="G31" i="1"/>
  <c r="H4" i="1"/>
  <c r="I4" i="1" s="1"/>
  <c r="G3" i="1"/>
  <c r="H3" i="1" s="1"/>
  <c r="I3" i="1" s="1"/>
  <c r="G47" i="1"/>
  <c r="H47" i="1" s="1"/>
  <c r="G45" i="1"/>
  <c r="G44" i="1" s="1"/>
  <c r="G12" i="4" s="1"/>
  <c r="G21" i="7"/>
  <c r="G27" i="7"/>
  <c r="G15" i="7"/>
  <c r="E16" i="6"/>
  <c r="F13" i="6" s="1"/>
  <c r="F16" i="6" s="1"/>
  <c r="G13" i="6" s="1"/>
  <c r="D3" i="4"/>
  <c r="D18" i="1"/>
  <c r="D5" i="4" s="1"/>
  <c r="D22" i="1"/>
  <c r="H2" i="6"/>
  <c r="G12" i="6"/>
  <c r="I2" i="1"/>
  <c r="H3" i="8"/>
  <c r="H15" i="8" s="1"/>
  <c r="H9" i="7"/>
  <c r="E29" i="1"/>
  <c r="E22" i="1" s="1"/>
  <c r="E17" i="1"/>
  <c r="E12" i="7"/>
  <c r="E10" i="7"/>
  <c r="E11" i="7"/>
  <c r="J11" i="5"/>
  <c r="K8" i="5" s="1"/>
  <c r="K11" i="5" s="1"/>
  <c r="L8" i="5" s="1"/>
  <c r="L11" i="5" s="1"/>
  <c r="M8" i="5" s="1"/>
  <c r="M11" i="5" s="1"/>
  <c r="N8" i="5" s="1"/>
  <c r="N11" i="5" s="1"/>
  <c r="F9" i="4"/>
  <c r="E20" i="4"/>
  <c r="E55" i="1"/>
  <c r="G14" i="1"/>
  <c r="G15" i="1"/>
  <c r="G23" i="1" s="1"/>
  <c r="G25" i="1"/>
  <c r="H38" i="1"/>
  <c r="I39" i="1"/>
  <c r="I38" i="1" s="1"/>
  <c r="I35" i="1"/>
  <c r="H11" i="1"/>
  <c r="H12" i="1" s="1"/>
  <c r="H14" i="1" s="1"/>
  <c r="I9" i="1"/>
  <c r="I11" i="1" s="1"/>
  <c r="I12" i="1" s="1"/>
  <c r="H28" i="1"/>
  <c r="H45" i="1" l="1"/>
  <c r="H26" i="1"/>
  <c r="H24" i="1"/>
  <c r="F15" i="1"/>
  <c r="F23" i="1" s="1"/>
  <c r="F14" i="1"/>
  <c r="F12" i="7" s="1"/>
  <c r="G46" i="1"/>
  <c r="G13" i="4" s="1"/>
  <c r="D6" i="4"/>
  <c r="D10" i="4" s="1"/>
  <c r="H36" i="1"/>
  <c r="H31" i="1"/>
  <c r="I31" i="1" s="1"/>
  <c r="H12" i="7"/>
  <c r="H10" i="7"/>
  <c r="H11" i="7"/>
  <c r="E5" i="8"/>
  <c r="E8" i="8" s="1"/>
  <c r="E9" i="8" s="1"/>
  <c r="E8" i="4"/>
  <c r="D5" i="8"/>
  <c r="D8" i="8" s="1"/>
  <c r="D9" i="8" s="1"/>
  <c r="D8" i="4"/>
  <c r="F18" i="6"/>
  <c r="F55" i="1" s="1"/>
  <c r="E18" i="1"/>
  <c r="E5" i="4" s="1"/>
  <c r="E3" i="4"/>
  <c r="G7" i="8"/>
  <c r="I47" i="1"/>
  <c r="H46" i="1"/>
  <c r="H44" i="1"/>
  <c r="H12" i="4" s="1"/>
  <c r="I45" i="1"/>
  <c r="I44" i="1" s="1"/>
  <c r="I12" i="4" s="1"/>
  <c r="D20" i="1"/>
  <c r="H21" i="7"/>
  <c r="H27" i="7"/>
  <c r="H15" i="7"/>
  <c r="I3" i="8"/>
  <c r="I15" i="8" s="1"/>
  <c r="I9" i="7"/>
  <c r="G12" i="7"/>
  <c r="G10" i="7"/>
  <c r="G11" i="7"/>
  <c r="I2" i="6"/>
  <c r="I12" i="6" s="1"/>
  <c r="H12" i="6"/>
  <c r="G9" i="4"/>
  <c r="G18" i="6"/>
  <c r="G16" i="6"/>
  <c r="H13" i="6" s="1"/>
  <c r="G27" i="1"/>
  <c r="F17" i="1"/>
  <c r="F27" i="1"/>
  <c r="F29" i="1"/>
  <c r="I14" i="1"/>
  <c r="I15" i="1"/>
  <c r="H17" i="1"/>
  <c r="H3" i="4" s="1"/>
  <c r="H15" i="1"/>
  <c r="H23" i="1" s="1"/>
  <c r="H25" i="1"/>
  <c r="I26" i="1"/>
  <c r="I25" i="1" s="1"/>
  <c r="I28" i="1"/>
  <c r="H27" i="1"/>
  <c r="I24" i="1"/>
  <c r="G17" i="1"/>
  <c r="G3" i="4" s="1"/>
  <c r="G29" i="1"/>
  <c r="F11" i="7" l="1"/>
  <c r="F10" i="7"/>
  <c r="H4" i="4"/>
  <c r="H29" i="1"/>
  <c r="G22" i="1"/>
  <c r="G5" i="8" s="1"/>
  <c r="G8" i="8" s="1"/>
  <c r="G9" i="8" s="1"/>
  <c r="F20" i="4"/>
  <c r="I36" i="1"/>
  <c r="I34" i="1" s="1"/>
  <c r="I33" i="1" s="1"/>
  <c r="I6" i="8" s="1"/>
  <c r="H34" i="1"/>
  <c r="H33" i="1" s="1"/>
  <c r="H6" i="8" s="1"/>
  <c r="E4" i="4"/>
  <c r="E6" i="4"/>
  <c r="I12" i="7"/>
  <c r="J12" i="7" s="1"/>
  <c r="I10" i="7"/>
  <c r="J10" i="7" s="1"/>
  <c r="I11" i="7"/>
  <c r="F22" i="1"/>
  <c r="G8" i="4"/>
  <c r="E20" i="1"/>
  <c r="F18" i="1"/>
  <c r="F3" i="4"/>
  <c r="F4" i="4" s="1"/>
  <c r="D14" i="4"/>
  <c r="D11" i="4"/>
  <c r="I21" i="7"/>
  <c r="I27" i="7"/>
  <c r="I15" i="7"/>
  <c r="D48" i="1"/>
  <c r="D41" i="1"/>
  <c r="H13" i="4"/>
  <c r="H7" i="8"/>
  <c r="I46" i="1"/>
  <c r="H18" i="6"/>
  <c r="H16" i="6"/>
  <c r="I13" i="6" s="1"/>
  <c r="G55" i="1"/>
  <c r="G20" i="4"/>
  <c r="H22" i="1"/>
  <c r="I27" i="1"/>
  <c r="I23" i="1"/>
  <c r="H18" i="1"/>
  <c r="G18" i="1"/>
  <c r="I29" i="1"/>
  <c r="I22" i="1" s="1"/>
  <c r="I17" i="1"/>
  <c r="I3" i="4" s="1"/>
  <c r="I4" i="4" s="1"/>
  <c r="J11" i="7" l="1"/>
  <c r="I9" i="4"/>
  <c r="H9" i="4"/>
  <c r="I13" i="4"/>
  <c r="I7" i="8"/>
  <c r="F20" i="1"/>
  <c r="F5" i="4"/>
  <c r="G20" i="1"/>
  <c r="G5" i="4"/>
  <c r="G6" i="4" s="1"/>
  <c r="G7" i="4" s="1"/>
  <c r="E10" i="4"/>
  <c r="E7" i="4"/>
  <c r="H8" i="4"/>
  <c r="H5" i="8"/>
  <c r="H8" i="8" s="1"/>
  <c r="H9" i="8" s="1"/>
  <c r="F8" i="4"/>
  <c r="F5" i="8"/>
  <c r="F8" i="8" s="1"/>
  <c r="F9" i="8" s="1"/>
  <c r="I8" i="4"/>
  <c r="I5" i="8"/>
  <c r="I8" i="8" s="1"/>
  <c r="I9" i="8" s="1"/>
  <c r="E48" i="1"/>
  <c r="E41" i="1"/>
  <c r="D49" i="1"/>
  <c r="D42" i="1"/>
  <c r="D17" i="4"/>
  <c r="D15" i="4"/>
  <c r="F6" i="4"/>
  <c r="G4" i="4"/>
  <c r="H20" i="1"/>
  <c r="H5" i="4"/>
  <c r="H6" i="4" s="1"/>
  <c r="H20" i="4"/>
  <c r="H55" i="1"/>
  <c r="I16" i="6"/>
  <c r="I18" i="6"/>
  <c r="I18" i="1"/>
  <c r="G10" i="4" l="1"/>
  <c r="F7" i="4"/>
  <c r="F10" i="4"/>
  <c r="F14" i="4" s="1"/>
  <c r="E49" i="1"/>
  <c r="E42" i="1"/>
  <c r="I20" i="1"/>
  <c r="I5" i="4"/>
  <c r="H48" i="1"/>
  <c r="H41" i="1"/>
  <c r="D18" i="4"/>
  <c r="D21" i="4"/>
  <c r="D22" i="4" s="1"/>
  <c r="D23" i="4" s="1"/>
  <c r="E14" i="4"/>
  <c r="E11" i="4"/>
  <c r="G48" i="1"/>
  <c r="G41" i="1"/>
  <c r="F48" i="1"/>
  <c r="F41" i="1"/>
  <c r="D17" i="7"/>
  <c r="D23" i="7" s="1"/>
  <c r="D29" i="7" s="1"/>
  <c r="D11" i="8" s="1"/>
  <c r="D14" i="8" s="1"/>
  <c r="D50" i="1"/>
  <c r="D18" i="7"/>
  <c r="D24" i="7" s="1"/>
  <c r="D30" i="7" s="1"/>
  <c r="D16" i="7"/>
  <c r="D22" i="7" s="1"/>
  <c r="D28" i="7" s="1"/>
  <c r="D52" i="1"/>
  <c r="G11" i="4"/>
  <c r="G14" i="4"/>
  <c r="F15" i="4"/>
  <c r="F17" i="4"/>
  <c r="I55" i="1"/>
  <c r="I20" i="4"/>
  <c r="F11" i="4"/>
  <c r="I6" i="4"/>
  <c r="H7" i="4"/>
  <c r="H10" i="4"/>
  <c r="H14" i="4" s="1"/>
  <c r="D24" i="4" l="1"/>
  <c r="F42" i="1"/>
  <c r="F49" i="1"/>
  <c r="D17" i="8"/>
  <c r="D16" i="8"/>
  <c r="G42" i="1"/>
  <c r="G49" i="1"/>
  <c r="E17" i="4"/>
  <c r="E15" i="4"/>
  <c r="D56" i="1"/>
  <c r="D53" i="1"/>
  <c r="I48" i="1"/>
  <c r="I41" i="1"/>
  <c r="H42" i="1"/>
  <c r="H49" i="1"/>
  <c r="E16" i="7"/>
  <c r="E22" i="7" s="1"/>
  <c r="E28" i="7" s="1"/>
  <c r="E17" i="7"/>
  <c r="E23" i="7" s="1"/>
  <c r="E29" i="7" s="1"/>
  <c r="E18" i="7"/>
  <c r="E52" i="1"/>
  <c r="E50" i="1"/>
  <c r="H17" i="4"/>
  <c r="H15" i="4"/>
  <c r="F21" i="4"/>
  <c r="F22" i="4" s="1"/>
  <c r="F23" i="4" s="1"/>
  <c r="F24" i="4" s="1"/>
  <c r="F18" i="4"/>
  <c r="G15" i="4"/>
  <c r="G17" i="4"/>
  <c r="H11" i="4"/>
  <c r="I7" i="4"/>
  <c r="I10" i="4"/>
  <c r="I14" i="4" s="1"/>
  <c r="H18" i="7" l="1"/>
  <c r="H24" i="7" s="1"/>
  <c r="H30" i="7" s="1"/>
  <c r="H16" i="7"/>
  <c r="H22" i="7" s="1"/>
  <c r="H17" i="7"/>
  <c r="H23" i="7" s="1"/>
  <c r="H50" i="1"/>
  <c r="H52" i="1"/>
  <c r="I49" i="1"/>
  <c r="I42" i="1"/>
  <c r="D18" i="8"/>
  <c r="E56" i="1"/>
  <c r="E53" i="1"/>
  <c r="E18" i="4"/>
  <c r="E21" i="4"/>
  <c r="E22" i="4" s="1"/>
  <c r="E23" i="4" s="1"/>
  <c r="E24" i="4" s="1"/>
  <c r="E24" i="7"/>
  <c r="F52" i="1"/>
  <c r="F18" i="7"/>
  <c r="F24" i="7" s="1"/>
  <c r="F30" i="7" s="1"/>
  <c r="F16" i="7"/>
  <c r="F17" i="7"/>
  <c r="F50" i="1"/>
  <c r="G17" i="7"/>
  <c r="G23" i="7" s="1"/>
  <c r="G29" i="7" s="1"/>
  <c r="G52" i="1"/>
  <c r="G50" i="1"/>
  <c r="G18" i="7"/>
  <c r="G24" i="7" s="1"/>
  <c r="G30" i="7" s="1"/>
  <c r="G16" i="7"/>
  <c r="G22" i="7" s="1"/>
  <c r="G28" i="7" s="1"/>
  <c r="H28" i="7"/>
  <c r="G18" i="4"/>
  <c r="G21" i="4"/>
  <c r="G22" i="4" s="1"/>
  <c r="G23" i="4" s="1"/>
  <c r="G24" i="4" s="1"/>
  <c r="H29" i="7"/>
  <c r="I15" i="4"/>
  <c r="I17" i="4"/>
  <c r="H21" i="4"/>
  <c r="H18" i="4"/>
  <c r="I11" i="4"/>
  <c r="G11" i="8" l="1"/>
  <c r="G14" i="8" s="1"/>
  <c r="G16" i="8" s="1"/>
  <c r="E30" i="7"/>
  <c r="E11" i="8" s="1"/>
  <c r="E14" i="8" s="1"/>
  <c r="F56" i="1"/>
  <c r="F57" i="1" s="1"/>
  <c r="F59" i="1" s="1"/>
  <c r="F60" i="1" s="1"/>
  <c r="F53" i="1"/>
  <c r="G56" i="1"/>
  <c r="G57" i="1" s="1"/>
  <c r="G59" i="1" s="1"/>
  <c r="G60" i="1" s="1"/>
  <c r="G53" i="1"/>
  <c r="I17" i="7"/>
  <c r="I23" i="7" s="1"/>
  <c r="I29" i="7" s="1"/>
  <c r="I50" i="1"/>
  <c r="I52" i="1"/>
  <c r="I18" i="7"/>
  <c r="I24" i="7" s="1"/>
  <c r="I30" i="7" s="1"/>
  <c r="J30" i="7" s="1"/>
  <c r="I16" i="7"/>
  <c r="I22" i="7" s="1"/>
  <c r="I28" i="7" s="1"/>
  <c r="F23" i="7"/>
  <c r="H56" i="1"/>
  <c r="H57" i="1" s="1"/>
  <c r="H59" i="1" s="1"/>
  <c r="H60" i="1" s="1"/>
  <c r="H53" i="1"/>
  <c r="F22" i="7"/>
  <c r="H11" i="8"/>
  <c r="H14" i="8" s="1"/>
  <c r="H16" i="8" s="1"/>
  <c r="H22" i="4"/>
  <c r="H23" i="4" s="1"/>
  <c r="H24" i="4" s="1"/>
  <c r="I21" i="4"/>
  <c r="I22" i="4" s="1"/>
  <c r="I23" i="4" s="1"/>
  <c r="I24" i="4" s="1"/>
  <c r="I18" i="4"/>
  <c r="D57" i="1"/>
  <c r="D59" i="1" s="1"/>
  <c r="E57" i="1"/>
  <c r="E59" i="1" s="1"/>
  <c r="E60" i="1" s="1"/>
  <c r="D60" i="1" l="1"/>
  <c r="E16" i="8"/>
  <c r="E18" i="8" s="1"/>
  <c r="E17" i="8"/>
  <c r="I11" i="8"/>
  <c r="I14" i="8" s="1"/>
  <c r="I16" i="8" s="1"/>
  <c r="J16" i="7"/>
  <c r="F28" i="7"/>
  <c r="J28" i="7" s="1"/>
  <c r="J22" i="7"/>
  <c r="I53" i="1"/>
  <c r="I56" i="1"/>
  <c r="I57" i="1" s="1"/>
  <c r="I59" i="1" s="1"/>
  <c r="I60" i="1" s="1"/>
  <c r="J18" i="7"/>
  <c r="J24" i="7"/>
  <c r="J17" i="7"/>
  <c r="F29" i="7"/>
  <c r="J23" i="7"/>
  <c r="F11" i="8" l="1"/>
  <c r="F14" i="8" s="1"/>
  <c r="J29" i="7"/>
  <c r="F16" i="8" l="1"/>
  <c r="D24" i="8"/>
  <c r="D25" i="8"/>
  <c r="F17" i="8"/>
  <c r="G17" i="8" l="1"/>
  <c r="H17" i="8" s="1"/>
  <c r="I17" i="8" s="1"/>
  <c r="D26" i="8" a="1"/>
  <c r="D26" i="8" s="1"/>
  <c r="D23" i="8"/>
  <c r="F18" i="8"/>
  <c r="G18" i="8" l="1"/>
  <c r="H18" i="8" s="1"/>
  <c r="I18" i="8" s="1"/>
  <c r="D27" i="8" a="1"/>
  <c r="D27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<sst xmlns="http://schemas.openxmlformats.org/spreadsheetml/2006/main" count="293" uniqueCount="148">
  <si>
    <t>Unidade</t>
  </si>
  <si>
    <t>R$/t</t>
  </si>
  <si>
    <t>R$/t·km</t>
  </si>
  <si>
    <t>x</t>
  </si>
  <si>
    <t>%</t>
  </si>
  <si>
    <t>t/ano</t>
  </si>
  <si>
    <t>km</t>
  </si>
  <si>
    <t>Distância média de entrega</t>
  </si>
  <si>
    <t>CAPEX — Planta SoloBom + Frota Logística</t>
  </si>
  <si>
    <t>R$</t>
  </si>
  <si>
    <t>Tempo Depreciação</t>
  </si>
  <si>
    <t>anos</t>
  </si>
  <si>
    <t>Roll-forward do Imobilizado</t>
  </si>
  <si>
    <t>Saldo Inicial</t>
  </si>
  <si>
    <t>CAPEX</t>
  </si>
  <si>
    <t>Depreciação e Amortização</t>
  </si>
  <si>
    <t>Saldo Final</t>
  </si>
  <si>
    <t>DÍVIDA — Financiamento do Investimento</t>
  </si>
  <si>
    <t>% Financiado</t>
  </si>
  <si>
    <t>Montante Dívida</t>
  </si>
  <si>
    <t>Carência</t>
  </si>
  <si>
    <t>Anos</t>
  </si>
  <si>
    <t>Tempo de Amortização</t>
  </si>
  <si>
    <t>Taxa de Juros</t>
  </si>
  <si>
    <t>% aa</t>
  </si>
  <si>
    <t>CDI</t>
  </si>
  <si>
    <t>Spread</t>
  </si>
  <si>
    <t>Cronograma da Dívida</t>
  </si>
  <si>
    <t>Dívida Inicial</t>
  </si>
  <si>
    <t>Captação</t>
  </si>
  <si>
    <t>Amortização</t>
  </si>
  <si>
    <t>Dívida Final</t>
  </si>
  <si>
    <t>Juros</t>
  </si>
  <si>
    <t>Inflação</t>
  </si>
  <si>
    <t>Receita Bruta</t>
  </si>
  <si>
    <t>Impostos sobre Vendas</t>
  </si>
  <si>
    <t>Receita Líquida</t>
  </si>
  <si>
    <t>Custos Variáveis</t>
  </si>
  <si>
    <t>Frete</t>
  </si>
  <si>
    <t>Custos Fixos</t>
  </si>
  <si>
    <t>Nº de operadores</t>
  </si>
  <si>
    <t>#</t>
  </si>
  <si>
    <t>Salário mensal/operador</t>
  </si>
  <si>
    <t>Encargos s/ folha</t>
  </si>
  <si>
    <t>Manutenção (% do imobilizado)</t>
  </si>
  <si>
    <t>Lucro Bruto</t>
  </si>
  <si>
    <t>R$/mês</t>
  </si>
  <si>
    <t>Margem EBITDA</t>
  </si>
  <si>
    <t>EBIT</t>
  </si>
  <si>
    <t>Margem EBIT</t>
  </si>
  <si>
    <t>Receita Financeira</t>
  </si>
  <si>
    <t>LAIR</t>
  </si>
  <si>
    <t>IRPJ/CSLL</t>
  </si>
  <si>
    <t>Lucro Líquido</t>
  </si>
  <si>
    <t>Margem de Lucro Líquido</t>
  </si>
  <si>
    <t>DRE — SoloBom</t>
  </si>
  <si>
    <t>yoy</t>
  </si>
  <si>
    <t>Margem Bruta</t>
  </si>
  <si>
    <t>EBITDA</t>
  </si>
  <si>
    <t>PREMISSAS &amp; DRE OPERACIONAL — Secador de Esterco (SoloBom)</t>
  </si>
  <si>
    <t>Preço de venda (composto)</t>
  </si>
  <si>
    <t>%aa</t>
  </si>
  <si>
    <t>Esterco úmido — PVA (Primavera)</t>
  </si>
  <si>
    <t>t/dia</t>
  </si>
  <si>
    <t>Esterco úmido — Campanha</t>
  </si>
  <si>
    <t>Dias de operação/ano</t>
  </si>
  <si>
    <t>dias</t>
  </si>
  <si>
    <t>Esterco úmido gerado</t>
  </si>
  <si>
    <t>Umidade inicial</t>
  </si>
  <si>
    <t>Umidade final (pós-secador)</t>
  </si>
  <si>
    <t>Fator massa seca</t>
  </si>
  <si>
    <t>Composto seco produzido</t>
  </si>
  <si>
    <t>Volume de venda esperado</t>
  </si>
  <si>
    <t>Composto vendido</t>
  </si>
  <si>
    <t>Água removida</t>
  </si>
  <si>
    <t>(−) Impostos sobre Vendas</t>
  </si>
  <si>
    <t>Carga tributária s/ vendas</t>
  </si>
  <si>
    <t>(−) Energia (secagem/biomassa)</t>
  </si>
  <si>
    <t>Custo de energia</t>
  </si>
  <si>
    <t>R$/t água</t>
  </si>
  <si>
    <t>(−) Aditivos</t>
  </si>
  <si>
    <t>Custo de aditivos</t>
  </si>
  <si>
    <t>R$/t seco</t>
  </si>
  <si>
    <t>(−) Embalagem/ensaque</t>
  </si>
  <si>
    <t>Custo de embalagem</t>
  </si>
  <si>
    <t>R$/t vend</t>
  </si>
  <si>
    <t>(−) Frete</t>
  </si>
  <si>
    <t>(−) Mão de obra</t>
  </si>
  <si>
    <t>(−) Manutenção</t>
  </si>
  <si>
    <t>(−) Despesas administrativas</t>
  </si>
  <si>
    <t>(−) Depreciação e Amortização</t>
  </si>
  <si>
    <t>(−) Despesa Financeira</t>
  </si>
  <si>
    <t>(−) IRPJ/CSLL</t>
  </si>
  <si>
    <t>(+) Descarte evitado</t>
  </si>
  <si>
    <t>Custo de descarte evitado (economia)</t>
  </si>
  <si>
    <t>R$/t esterco</t>
  </si>
  <si>
    <t>Administrativo (contador etc.)</t>
  </si>
  <si>
    <t>(−) Despesas</t>
  </si>
  <si>
    <t>CENÁRIOS — Sensibilidade à Distância de Entrega (frete)</t>
  </si>
  <si>
    <t>Otimista 100 km | Razoável 200 km | Pessimista 300 km — demais premissas iguais à Página1</t>
  </si>
  <si>
    <t>Otimista</t>
  </si>
  <si>
    <t>Razoável</t>
  </si>
  <si>
    <t>Pessimista</t>
  </si>
  <si>
    <t>FRETE (R$/ano)</t>
  </si>
  <si>
    <t>Total 6 anos</t>
  </si>
  <si>
    <t>EBITDA (R$/ano)</t>
  </si>
  <si>
    <t>LAIR (R$/ano)</t>
  </si>
  <si>
    <t>LUCRO LÍQUIDO (R$/ano)</t>
  </si>
  <si>
    <t>Leitura</t>
  </si>
  <si>
    <t>Com frete pago pelo vendedor a R$ 0,45/t·km, só o cenário de ~100 km se sustenta (EBITDA positivo, mas próximo do zero após depreciação e juros).</t>
  </si>
  <si>
    <t>A partir de 200 km o frete supera a margem e o resultado fica negativo — existe um raio máximo econômico de entrega.</t>
  </si>
  <si>
    <t>Para vender mais longe: repassar o frete ao cliente (FOB), elevar o preço, ou baixar o custo de frete (R$/t·km).</t>
  </si>
  <si>
    <t>Estimativa de CAPEX por item (implementação)</t>
  </si>
  <si>
    <t>Secador industrial (linhas a biomassa)</t>
  </si>
  <si>
    <t>Obra civil, galpão e instalação</t>
  </si>
  <si>
    <t>Licenças ambientais</t>
  </si>
  <si>
    <t>Equipamentos auxiliares (granulação, ensacadora)</t>
  </si>
  <si>
    <t>Frota logística (caminhões)</t>
  </si>
  <si>
    <t>Capital de giro inicial</t>
  </si>
  <si>
    <t>Contingência (10%)</t>
  </si>
  <si>
    <t>CAPEX Total (implementação)</t>
  </si>
  <si>
    <t>Valor Investimento (= estimativa itemizada)</t>
  </si>
  <si>
    <t>FLUXO DE CAIXA &amp; VIABILIDADE — SoloBom</t>
  </si>
  <si>
    <t>OPEX (custos + despesas operacionais)</t>
  </si>
  <si>
    <t>Despesas administrativas</t>
  </si>
  <si>
    <t>OPEX Total</t>
  </si>
  <si>
    <t>OPEX por tonelada vendida</t>
  </si>
  <si>
    <t>(+) Depreciação e Amortização</t>
  </si>
  <si>
    <t>(−) CAPEX (investimento)</t>
  </si>
  <si>
    <t>Fluxo de Caixa Livre</t>
  </si>
  <si>
    <t>Fator de desconto</t>
  </si>
  <si>
    <t>FC Livre Descontado</t>
  </si>
  <si>
    <t>FC Livre Acumulado</t>
  </si>
  <si>
    <t>FC Descontado Acumulado</t>
  </si>
  <si>
    <t>INDICADORES DE VIABILIDADE</t>
  </si>
  <si>
    <t>TMA (taxa de desconto)</t>
  </si>
  <si>
    <t>Investimento (CAPEX)</t>
  </si>
  <si>
    <t>VPL @ TMA</t>
  </si>
  <si>
    <t>TIR</t>
  </si>
  <si>
    <t>ROI (operação 2026-2030)</t>
  </si>
  <si>
    <t>Payback simples</t>
  </si>
  <si>
    <t>Payback descontado</t>
  </si>
  <si>
    <t>Cenário selecionado</t>
  </si>
  <si>
    <t>Entrada</t>
  </si>
  <si>
    <t>Distância</t>
  </si>
  <si>
    <t>Fonte</t>
  </si>
  <si>
    <t>Cenários!B4:D6</t>
  </si>
  <si>
    <t>Desp. adm. / Receita Líquida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</si>
</sst>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7" formatCode="0.0%"/>
    <numFmt numFmtId="168" formatCode="&quot;R$ &quot;#,##0"/>
    <numFmt numFmtId="169" formatCode="&quot;R$ &quot;#,##0.00"/>
    <numFmt numFmtId="172" formatCode="0.000&quot;x&quot;"/>
    <numFmt numFmtId="173" formatCode="&quot;R$ &quot;#,##0;\(&quot;R$ &quot;#,##0\)"/>
    <numFmt numFmtId="174" formatCode="0.000"/>
    <numFmt numFmtId="175" formatCode="0.0&quot; anos&quot;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1"/>
      <color rgb="FF555555"/>
      <name val="Aptos Narrow"/>
      <family val="2"/>
      <scheme val="minor"/>
    </font>
    <font>
      <i/>
      <sz val="11"/>
      <color rgb="FF555555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sz val="11"/>
      <color rgb="FF008000"/>
      <name val="Aptos Narrow"/>
      <family val="2"/>
      <scheme val="minor"/>
    </font>
    <font>
      <b/>
      <sz val="11"/>
      <color rgb="FF008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i/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0070C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2E3E5"/>
        <bgColor indexed="64"/>
      </patternFill>
    </fill>
    <fill>
      <patternFill patternType="solid">
        <fgColor rgb="FFDDEBF7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167" fontId="5" fillId="3" borderId="0" xfId="0" applyNumberFormat="1" applyFont="1" applyFill="1"/>
    <xf numFmtId="3" fontId="5" fillId="3" borderId="0" xfId="0" applyNumberFormat="1" applyFont="1" applyFill="1"/>
    <xf numFmtId="3" fontId="0" fillId="0" borderId="0" xfId="0" applyNumberFormat="1"/>
    <xf numFmtId="3" fontId="1" fillId="0" borderId="0" xfId="0" applyNumberFormat="1" applyFont="1"/>
    <xf numFmtId="167" fontId="0" fillId="0" borderId="0" xfId="0" applyNumberFormat="1"/>
    <xf numFmtId="168" fontId="5" fillId="3" borderId="0" xfId="0" applyNumberFormat="1" applyFont="1" applyFill="1"/>
    <xf numFmtId="169" fontId="5" fillId="3" borderId="0" xfId="0" applyNumberFormat="1" applyFont="1" applyFill="1"/>
    <xf numFmtId="168" fontId="0" fillId="0" borderId="0" xfId="0" applyNumberFormat="1"/>
    <xf numFmtId="168" fontId="1" fillId="0" borderId="0" xfId="0" applyNumberFormat="1" applyFont="1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" fontId="0" fillId="0" borderId="0" xfId="0" applyNumberFormat="1"/>
    <xf numFmtId="1" fontId="5" fillId="3" borderId="0" xfId="0" applyNumberFormat="1" applyFont="1" applyFill="1"/>
    <xf numFmtId="0" fontId="7" fillId="0" borderId="0" xfId="0" applyFont="1"/>
    <xf numFmtId="0" fontId="0" fillId="0" borderId="0" xfId="0" applyNumberFormat="1"/>
    <xf numFmtId="0" fontId="1" fillId="0" borderId="0" xfId="0" applyNumberFormat="1" applyFont="1"/>
    <xf numFmtId="169" fontId="0" fillId="0" borderId="0" xfId="0" applyNumberFormat="1"/>
    <xf numFmtId="168" fontId="7" fillId="0" borderId="0" xfId="0" applyNumberFormat="1" applyFont="1"/>
    <xf numFmtId="0" fontId="2" fillId="0" borderId="0" xfId="0" applyNumberFormat="1" applyFont="1"/>
    <xf numFmtId="168" fontId="8" fillId="0" borderId="0" xfId="0" applyNumberFormat="1" applyFont="1"/>
    <xf numFmtId="0" fontId="1" fillId="2" borderId="0" xfId="0" applyNumberFormat="1" applyFont="1" applyFill="1"/>
    <xf numFmtId="0" fontId="0" fillId="0" borderId="2" xfId="0" applyNumberFormat="1" applyBorder="1"/>
    <xf numFmtId="0" fontId="1" fillId="0" borderId="2" xfId="0" applyNumberFormat="1" applyFont="1" applyBorder="1"/>
    <xf numFmtId="1" fontId="1" fillId="0" borderId="2" xfId="0" applyNumberFormat="1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168" fontId="1" fillId="3" borderId="0" xfId="0" applyNumberFormat="1" applyFont="1" applyFill="1"/>
    <xf numFmtId="172" fontId="0" fillId="0" borderId="0" xfId="0" applyNumberFormat="1"/>
    <xf numFmtId="168" fontId="6" fillId="3" borderId="0" xfId="0" applyNumberFormat="1" applyFont="1" applyFill="1"/>
    <xf numFmtId="167" fontId="1" fillId="0" borderId="0" xfId="0" applyNumberFormat="1" applyFont="1"/>
    <xf numFmtId="167" fontId="7" fillId="0" borderId="0" xfId="0" applyNumberFormat="1" applyFont="1"/>
    <xf numFmtId="0" fontId="7" fillId="0" borderId="0" xfId="0" applyNumberFormat="1" applyFont="1"/>
    <xf numFmtId="173" fontId="0" fillId="0" borderId="0" xfId="0" applyNumberFormat="1"/>
    <xf numFmtId="173" fontId="1" fillId="0" borderId="0" xfId="0" applyNumberFormat="1" applyFont="1"/>
    <xf numFmtId="168" fontId="1" fillId="4" borderId="0" xfId="0" applyNumberFormat="1" applyFont="1" applyFill="1"/>
    <xf numFmtId="168" fontId="9" fillId="3" borderId="0" xfId="0" applyNumberFormat="1" applyFont="1" applyFill="1"/>
    <xf numFmtId="173" fontId="7" fillId="0" borderId="0" xfId="0" applyNumberFormat="1" applyFont="1"/>
    <xf numFmtId="174" fontId="0" fillId="0" borderId="0" xfId="0" applyNumberFormat="1"/>
    <xf numFmtId="175" fontId="0" fillId="0" borderId="0" xfId="0" applyNumberFormat="1"/>
    <xf numFmtId="0" fontId="10" fillId="5" borderId="1" xfId="0" applyFont="1" applyFill="1" applyBorder="1"/>
    <xf numFmtId="0" fontId="11" fillId="5" borderId="1" xfId="0" applyFont="1" applyFill="1" applyBorder="1"/>
    <xf numFmtId="0" fontId="12" fillId="6" borderId="1" xfId="0" applyFont="1" applyFill="1" applyBorder="1" applyAlignment="1">
      <alignment horizontal="center"/>
    </xf>
    <xf numFmtId="3" fontId="7" fillId="5" borderId="1" xfId="0" applyNumberFormat="1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7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EBITDA por cenário de distância (R$/ano)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Otimista 100 km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Cenários!$D$15:$I$15</c:f>
              <c:numCache>
                <c:formatCode>0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Cenários!$D$16:$I$16</c:f>
              <c:numCache>
                <c:formatCode>"R$ "#,##0;\("R$ "#,##0\)</c:formatCode>
                <c:ptCount val="6"/>
                <c:pt idx="0">
                  <c:v>1178293.75</c:v>
                </c:pt>
                <c:pt idx="1">
                  <c:v>1252898.9687500075</c:v>
                </c:pt>
                <c:pt idx="2">
                  <c:v>1330861.4223437589</c:v>
                </c:pt>
                <c:pt idx="3">
                  <c:v>1412332.1863492206</c:v>
                </c:pt>
                <c:pt idx="4">
                  <c:v>1497469.1347349454</c:v>
                </c:pt>
                <c:pt idx="5">
                  <c:v>1586437.2457980132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DF-4393-8977-08F5E426CE79}"/>
            </c:ext>
          </c:extLst>
        </c:ser>
        <c:ser>
          <c:idx val="1"/>
          <c:order val="1"/>
          <c:tx>
            <c:v>Razoável 200 km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Cenários!$D$15:$I$15</c:f>
              <c:numCache>
                <c:formatCode>0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Cenários!$D$17:$I$17</c:f>
              <c:numCache>
                <c:formatCode>"R$ "#,##0;\("R$ "#,##0\)</c:formatCode>
                <c:ptCount val="6"/>
                <c:pt idx="0">
                  <c:v>-4221706.25</c:v>
                </c:pt>
                <c:pt idx="1">
                  <c:v>-4390101.0312499925</c:v>
                </c:pt>
                <c:pt idx="2">
                  <c:v>-4566073.5776562411</c:v>
                </c:pt>
                <c:pt idx="3">
                  <c:v>-4749964.8886507787</c:v>
                </c:pt>
                <c:pt idx="4">
                  <c:v>-4942131.3086400535</c:v>
                </c:pt>
                <c:pt idx="5">
                  <c:v>-5142945.217528861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DF-4393-8977-08F5E426CE79}"/>
            </c:ext>
          </c:extLst>
        </c:ser>
        <c:ser>
          <c:idx val="2"/>
          <c:order val="2"/>
          <c:tx>
            <c:v>Pessimista 300 km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Cenários!$D$15:$I$15</c:f>
              <c:numCache>
                <c:formatCode>0</c:formatCode>
                <c:ptCount val="6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</c:v>
                </c:pt>
              </c:numCache>
            </c:numRef>
          </c:cat>
          <c:val>
            <c:numRef>
              <c:f>Cenários!$D$18:$I$18</c:f>
              <c:numCache>
                <c:formatCode>"R$ "#,##0;\("R$ "#,##0\)</c:formatCode>
                <c:ptCount val="6"/>
                <c:pt idx="0">
                  <c:v>-9621706.25</c:v>
                </c:pt>
                <c:pt idx="1">
                  <c:v>-10033101.031249993</c:v>
                </c:pt>
                <c:pt idx="2">
                  <c:v>-10463008.577656241</c:v>
                </c:pt>
                <c:pt idx="3">
                  <c:v>-10912261.963650778</c:v>
                </c:pt>
                <c:pt idx="4">
                  <c:v>-11381731.752015052</c:v>
                </c:pt>
                <c:pt idx="5">
                  <c:v>-11872327.680855734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3DF-4393-8977-08F5E426C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1882080"/>
        <c:axId val="811881600"/>
      </c:barChart>
      <c:catAx>
        <c:axId val="81188208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1881600"/>
        <c:crosses val="autoZero"/>
        <c:auto val="1"/>
        <c:lblAlgn val="ctr"/>
        <c:lblOffset val="100"/>
        <c:noMultiLvlLbl val="0"/>
      </c:catAx>
      <c:valAx>
        <c:axId val="81188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 &quot;#,##0;\(&quot;R$ 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1882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7</xdr:row>
      <xdr:rowOff>0</xdr:rowOff>
    </xdr:from>
    <xdr:to>
      <xdr:col>20</xdr:col>
      <xdr:colOff>0</xdr:colOff>
      <xdr:row>26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0DB5362-712D-2620-13A5-826E80CA49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3">
    <wetp:webextensionref xmlns:r="http://schemas.openxmlformats.org/officeDocument/2006/relationships" r:id="rId1"/>
  </wetp:taskpane>
  <wetp:taskpane dockstate="right" visibility="0" width="438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AAE4924D-254C-4913-8124-178A2D2F2662}">
  <we:reference id="wa200009404" version="1.0.0.8" store="pt-BR" storeType="OMEX"/>
  <we:alternateReferences>
    <we:reference id="wa200009404" version="1.0.0.8" store="" storeType="OMEX"/>
  </we:alternateReferences>
  <we:properties>
    <we:property name="claude.fileId" value="&quot;b8c3dd0b-41d7-4d37-83e0-384246519c92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E62E60AD-E864-47F3-8F0B-831D73999962}">
  <we:reference id="wa200010215" version="2.0.0.0" store="pt-BR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67280-8266-43BC-A452-C5C9900135FD}">
  <dimension ref="B1:I60"/>
  <sheetViews>
    <sheetView tabSelected="1" zoomScale="61" workbookViewId="0">
      <selection activeCell="A27" sqref="A27"/>
    </sheetView>
  </sheetViews>
  <sheetFormatPr defaultRowHeight="14.4" x14ac:dyDescent="0.3"/>
  <cols>
    <col min="2" max="2" width="42.5546875" customWidth="1"/>
    <col min="3" max="3" width="13.88671875" customWidth="1"/>
    <col min="4" max="9" width="17.5546875" customWidth="1"/>
  </cols>
  <sheetData>
    <row r="1" spans="2:9" ht="17.399999999999999" x14ac:dyDescent="0.35">
      <c r="B1" s="1" t="s">
        <v>59</v>
      </c>
    </row>
    <row r="2" spans="2:9" x14ac:dyDescent="0.3">
      <c r="C2" s="4" t="s">
        <v>0</v>
      </c>
      <c r="D2" s="17">
        <v>2026</v>
      </c>
      <c r="E2" s="17">
        <f>D2+1</f>
        <v>2027</v>
      </c>
      <c r="F2" s="17">
        <f t="shared" ref="F2:I2" si="0">E2+1</f>
        <v>2028</v>
      </c>
      <c r="G2" s="17">
        <f t="shared" si="0"/>
        <v>2029</v>
      </c>
      <c r="H2" s="17">
        <f t="shared" si="0"/>
        <v>2030</v>
      </c>
      <c r="I2" s="17">
        <f t="shared" si="0"/>
        <v>2031</v>
      </c>
    </row>
    <row r="3" spans="2:9" x14ac:dyDescent="0.3">
      <c r="B3" t="s">
        <v>60</v>
      </c>
      <c r="C3" t="s">
        <v>1</v>
      </c>
      <c r="D3" s="12">
        <v>360</v>
      </c>
      <c r="E3" s="14">
        <f>D3*(1+E$4)</f>
        <v>376.2</v>
      </c>
      <c r="F3" s="14">
        <f t="shared" ref="F3:I3" si="1">E3*(1+F$4)</f>
        <v>393.12899999999996</v>
      </c>
      <c r="G3" s="14">
        <f t="shared" si="1"/>
        <v>410.81980499999992</v>
      </c>
      <c r="H3" s="14">
        <f t="shared" si="1"/>
        <v>429.30669622499988</v>
      </c>
      <c r="I3" s="14">
        <f t="shared" si="1"/>
        <v>448.62549755512487</v>
      </c>
    </row>
    <row r="4" spans="2:9" x14ac:dyDescent="0.3">
      <c r="B4" t="s">
        <v>33</v>
      </c>
      <c r="C4" t="s">
        <v>61</v>
      </c>
      <c r="D4" s="7">
        <v>4.4999999999999998E-2</v>
      </c>
      <c r="E4" s="11">
        <f>D4</f>
        <v>4.4999999999999998E-2</v>
      </c>
      <c r="F4" s="11">
        <f t="shared" ref="F4:I4" si="2">E4</f>
        <v>4.4999999999999998E-2</v>
      </c>
      <c r="G4" s="11">
        <f t="shared" si="2"/>
        <v>4.4999999999999998E-2</v>
      </c>
      <c r="H4" s="11">
        <f t="shared" si="2"/>
        <v>4.4999999999999998E-2</v>
      </c>
      <c r="I4" s="11">
        <f t="shared" si="2"/>
        <v>4.4999999999999998E-2</v>
      </c>
    </row>
    <row r="5" spans="2:9" x14ac:dyDescent="0.3">
      <c r="B5" t="s">
        <v>62</v>
      </c>
      <c r="C5" t="s">
        <v>63</v>
      </c>
      <c r="D5" s="8">
        <v>550</v>
      </c>
      <c r="E5" s="9">
        <f>D5</f>
        <v>550</v>
      </c>
      <c r="F5" s="9">
        <f t="shared" ref="F5:I5" si="3">E5</f>
        <v>550</v>
      </c>
      <c r="G5" s="9">
        <f t="shared" si="3"/>
        <v>550</v>
      </c>
      <c r="H5" s="9">
        <f t="shared" si="3"/>
        <v>550</v>
      </c>
      <c r="I5" s="9">
        <f t="shared" si="3"/>
        <v>550</v>
      </c>
    </row>
    <row r="6" spans="2:9" x14ac:dyDescent="0.3">
      <c r="B6" t="s">
        <v>64</v>
      </c>
      <c r="C6" t="s">
        <v>63</v>
      </c>
      <c r="D6" s="8">
        <v>440</v>
      </c>
      <c r="E6" s="9">
        <f>D6</f>
        <v>440</v>
      </c>
      <c r="F6" s="9">
        <f t="shared" ref="F6:I6" si="4">E6</f>
        <v>440</v>
      </c>
      <c r="G6" s="9">
        <f t="shared" si="4"/>
        <v>440</v>
      </c>
      <c r="H6" s="9">
        <f t="shared" si="4"/>
        <v>440</v>
      </c>
      <c r="I6" s="9">
        <f t="shared" si="4"/>
        <v>440</v>
      </c>
    </row>
    <row r="7" spans="2:9" x14ac:dyDescent="0.3">
      <c r="B7" t="s">
        <v>65</v>
      </c>
      <c r="C7" t="s">
        <v>66</v>
      </c>
      <c r="D7" s="19">
        <v>365</v>
      </c>
      <c r="E7" s="18">
        <f>D7</f>
        <v>365</v>
      </c>
      <c r="F7" s="18">
        <f t="shared" ref="F7:I7" si="5">E7</f>
        <v>365</v>
      </c>
      <c r="G7" s="18">
        <f t="shared" si="5"/>
        <v>365</v>
      </c>
      <c r="H7" s="18">
        <f t="shared" si="5"/>
        <v>365</v>
      </c>
      <c r="I7" s="18">
        <f t="shared" si="5"/>
        <v>365</v>
      </c>
    </row>
    <row r="8" spans="2:9" x14ac:dyDescent="0.3">
      <c r="B8" t="s">
        <v>67</v>
      </c>
      <c r="C8" t="s">
        <v>5</v>
      </c>
      <c r="D8" s="9">
        <f>(D5+D6)*D7</f>
        <v>361350</v>
      </c>
      <c r="E8" s="9">
        <f>(E5+E6)*E7</f>
        <v>361350</v>
      </c>
      <c r="F8" s="9">
        <f t="shared" ref="F8:I8" si="6">(F5+F6)*F7</f>
        <v>361350</v>
      </c>
      <c r="G8" s="9">
        <f t="shared" si="6"/>
        <v>361350</v>
      </c>
      <c r="H8" s="9">
        <f t="shared" si="6"/>
        <v>361350</v>
      </c>
      <c r="I8" s="9">
        <f t="shared" si="6"/>
        <v>361350</v>
      </c>
    </row>
    <row r="9" spans="2:9" x14ac:dyDescent="0.3">
      <c r="B9" t="s">
        <v>68</v>
      </c>
      <c r="C9" t="s">
        <v>4</v>
      </c>
      <c r="D9" s="7">
        <v>0.7</v>
      </c>
      <c r="E9" s="11">
        <f>D9</f>
        <v>0.7</v>
      </c>
      <c r="F9" s="11">
        <f t="shared" ref="F9:I9" si="7">E9</f>
        <v>0.7</v>
      </c>
      <c r="G9" s="11">
        <f t="shared" si="7"/>
        <v>0.7</v>
      </c>
      <c r="H9" s="11">
        <f t="shared" si="7"/>
        <v>0.7</v>
      </c>
      <c r="I9" s="11">
        <f t="shared" si="7"/>
        <v>0.7</v>
      </c>
    </row>
    <row r="10" spans="2:9" x14ac:dyDescent="0.3">
      <c r="B10" t="s">
        <v>69</v>
      </c>
      <c r="C10" t="s">
        <v>4</v>
      </c>
      <c r="D10" s="7">
        <v>0.2</v>
      </c>
      <c r="E10" s="11">
        <f>D10</f>
        <v>0.2</v>
      </c>
      <c r="F10" s="11">
        <f t="shared" ref="F10:I10" si="8">E10</f>
        <v>0.2</v>
      </c>
      <c r="G10" s="11">
        <f t="shared" si="8"/>
        <v>0.2</v>
      </c>
      <c r="H10" s="11">
        <f t="shared" si="8"/>
        <v>0.2</v>
      </c>
      <c r="I10" s="11">
        <f t="shared" si="8"/>
        <v>0.2</v>
      </c>
    </row>
    <row r="11" spans="2:9" x14ac:dyDescent="0.3">
      <c r="B11" t="s">
        <v>70</v>
      </c>
      <c r="C11" t="s">
        <v>3</v>
      </c>
      <c r="D11" s="33">
        <f>(1-D9)/(1-D10)</f>
        <v>0.37500000000000006</v>
      </c>
      <c r="E11" s="33">
        <f>(1-E9)/(1-E10)</f>
        <v>0.37500000000000006</v>
      </c>
      <c r="F11" s="33">
        <f t="shared" ref="F11:I11" si="9">(1-F9)/(1-F10)</f>
        <v>0.37500000000000006</v>
      </c>
      <c r="G11" s="33">
        <f t="shared" si="9"/>
        <v>0.37500000000000006</v>
      </c>
      <c r="H11" s="33">
        <f t="shared" si="9"/>
        <v>0.37500000000000006</v>
      </c>
      <c r="I11" s="33">
        <f t="shared" si="9"/>
        <v>0.37500000000000006</v>
      </c>
    </row>
    <row r="12" spans="2:9" x14ac:dyDescent="0.3">
      <c r="B12" t="s">
        <v>71</v>
      </c>
      <c r="C12" t="s">
        <v>5</v>
      </c>
      <c r="D12" s="9">
        <f>D8*D11</f>
        <v>135506.25000000003</v>
      </c>
      <c r="E12" s="9">
        <f>E8*E11</f>
        <v>135506.25000000003</v>
      </c>
      <c r="F12" s="9">
        <f t="shared" ref="F12:I12" si="10">F8*F11</f>
        <v>135506.25000000003</v>
      </c>
      <c r="G12" s="9">
        <f t="shared" si="10"/>
        <v>135506.25000000003</v>
      </c>
      <c r="H12" s="9">
        <f t="shared" si="10"/>
        <v>135506.25000000003</v>
      </c>
      <c r="I12" s="9">
        <f t="shared" si="10"/>
        <v>135506.25000000003</v>
      </c>
    </row>
    <row r="13" spans="2:9" x14ac:dyDescent="0.3">
      <c r="B13" t="s">
        <v>72</v>
      </c>
      <c r="C13" t="s">
        <v>5</v>
      </c>
      <c r="D13" s="8">
        <v>120000</v>
      </c>
      <c r="E13" s="9">
        <f>D13</f>
        <v>120000</v>
      </c>
      <c r="F13" s="9">
        <f t="shared" ref="F13:I13" si="11">E13</f>
        <v>120000</v>
      </c>
      <c r="G13" s="9">
        <f t="shared" si="11"/>
        <v>120000</v>
      </c>
      <c r="H13" s="9">
        <f t="shared" si="11"/>
        <v>120000</v>
      </c>
      <c r="I13" s="9">
        <f t="shared" si="11"/>
        <v>120000</v>
      </c>
    </row>
    <row r="14" spans="2:9" x14ac:dyDescent="0.3">
      <c r="B14" s="4" t="s">
        <v>73</v>
      </c>
      <c r="C14" t="s">
        <v>5</v>
      </c>
      <c r="D14" s="10">
        <f>MIN(D12,D13)</f>
        <v>120000</v>
      </c>
      <c r="E14" s="10">
        <f>MIN(E12,E13)</f>
        <v>120000</v>
      </c>
      <c r="F14" s="10">
        <f t="shared" ref="F14:I14" si="12">MIN(F12,F13)</f>
        <v>120000</v>
      </c>
      <c r="G14" s="10">
        <f t="shared" si="12"/>
        <v>120000</v>
      </c>
      <c r="H14" s="10">
        <f t="shared" si="12"/>
        <v>120000</v>
      </c>
      <c r="I14" s="10">
        <f t="shared" si="12"/>
        <v>120000</v>
      </c>
    </row>
    <row r="15" spans="2:9" x14ac:dyDescent="0.3">
      <c r="B15" t="s">
        <v>74</v>
      </c>
      <c r="C15" t="s">
        <v>5</v>
      </c>
      <c r="D15" s="9">
        <f>D8-D12</f>
        <v>225843.74999999997</v>
      </c>
      <c r="E15" s="9">
        <f>E8-E12</f>
        <v>225843.74999999997</v>
      </c>
      <c r="F15" s="9">
        <f t="shared" ref="F15:I15" si="13">F8-F12</f>
        <v>225843.74999999997</v>
      </c>
      <c r="G15" s="9">
        <f t="shared" si="13"/>
        <v>225843.74999999997</v>
      </c>
      <c r="H15" s="9">
        <f t="shared" si="13"/>
        <v>225843.74999999997</v>
      </c>
      <c r="I15" s="9">
        <f t="shared" si="13"/>
        <v>225843.74999999997</v>
      </c>
    </row>
    <row r="17" spans="2:9" x14ac:dyDescent="0.3">
      <c r="B17" s="4" t="s">
        <v>34</v>
      </c>
      <c r="C17" t="s">
        <v>9</v>
      </c>
      <c r="D17" s="15">
        <f>D14*D3</f>
        <v>43200000</v>
      </c>
      <c r="E17" s="15">
        <f>E14*E3</f>
        <v>45144000</v>
      </c>
      <c r="F17" s="15">
        <f t="shared" ref="F17:I17" si="14">F14*F3</f>
        <v>47175479.999999993</v>
      </c>
      <c r="G17" s="15">
        <f t="shared" si="14"/>
        <v>49298376.599999987</v>
      </c>
      <c r="H17" s="15">
        <f t="shared" si="14"/>
        <v>51516803.546999983</v>
      </c>
      <c r="I17" s="15">
        <f t="shared" si="14"/>
        <v>53835059.706614986</v>
      </c>
    </row>
    <row r="18" spans="2:9" x14ac:dyDescent="0.3">
      <c r="B18" t="s">
        <v>75</v>
      </c>
      <c r="C18" t="s">
        <v>9</v>
      </c>
      <c r="D18" s="14">
        <f>D17*D19</f>
        <v>3456000</v>
      </c>
      <c r="E18" s="14">
        <f>E17*E19</f>
        <v>3611520</v>
      </c>
      <c r="F18" s="14">
        <f t="shared" ref="F18:I18" si="15">F17*F19</f>
        <v>3774038.3999999994</v>
      </c>
      <c r="G18" s="14">
        <f t="shared" si="15"/>
        <v>3943870.1279999991</v>
      </c>
      <c r="H18" s="14">
        <f t="shared" si="15"/>
        <v>4121344.2837599986</v>
      </c>
      <c r="I18" s="14">
        <f t="shared" si="15"/>
        <v>4306804.7765291985</v>
      </c>
    </row>
    <row r="19" spans="2:9" x14ac:dyDescent="0.3">
      <c r="B19" t="s">
        <v>76</v>
      </c>
      <c r="C19" t="s">
        <v>4</v>
      </c>
      <c r="D19" s="7">
        <v>0.08</v>
      </c>
      <c r="E19" s="11">
        <f>D19</f>
        <v>0.08</v>
      </c>
      <c r="F19" s="11">
        <f t="shared" ref="F19:I19" si="16">E19</f>
        <v>0.08</v>
      </c>
      <c r="G19" s="11">
        <f t="shared" si="16"/>
        <v>0.08</v>
      </c>
      <c r="H19" s="11">
        <f t="shared" si="16"/>
        <v>0.08</v>
      </c>
      <c r="I19" s="11">
        <f t="shared" si="16"/>
        <v>0.08</v>
      </c>
    </row>
    <row r="20" spans="2:9" x14ac:dyDescent="0.3">
      <c r="B20" s="4" t="s">
        <v>36</v>
      </c>
      <c r="C20" t="s">
        <v>9</v>
      </c>
      <c r="D20" s="15">
        <f>D17-D18</f>
        <v>39744000</v>
      </c>
      <c r="E20" s="15">
        <f>E17-E18</f>
        <v>41532480</v>
      </c>
      <c r="F20" s="15">
        <f t="shared" ref="F20:I20" si="17">F17-F18</f>
        <v>43401441.599999994</v>
      </c>
      <c r="G20" s="15">
        <f t="shared" si="17"/>
        <v>45354506.471999988</v>
      </c>
      <c r="H20" s="15">
        <f t="shared" si="17"/>
        <v>47395459.263239987</v>
      </c>
      <c r="I20" s="15">
        <f t="shared" si="17"/>
        <v>49528254.930085786</v>
      </c>
    </row>
    <row r="22" spans="2:9" x14ac:dyDescent="0.3">
      <c r="B22" s="4" t="s">
        <v>37</v>
      </c>
      <c r="C22" t="s">
        <v>9</v>
      </c>
      <c r="D22" s="15">
        <f>D23+D25+D27+D29</f>
        <v>36188906.25</v>
      </c>
      <c r="E22" s="15">
        <f>E23+E25+E27+E29</f>
        <v>37817407.031249993</v>
      </c>
      <c r="F22" s="15">
        <f t="shared" ref="F22:I22" si="18">F23+F25+F27+F29</f>
        <v>39519190.347656235</v>
      </c>
      <c r="G22" s="15">
        <f t="shared" si="18"/>
        <v>41297553.913300768</v>
      </c>
      <c r="H22" s="15">
        <f t="shared" si="18"/>
        <v>43155943.839399293</v>
      </c>
      <c r="I22" s="15">
        <f t="shared" si="18"/>
        <v>45097961.312172264</v>
      </c>
    </row>
    <row r="23" spans="2:9" x14ac:dyDescent="0.3">
      <c r="B23" t="s">
        <v>77</v>
      </c>
      <c r="C23" t="s">
        <v>9</v>
      </c>
      <c r="D23" s="14">
        <f>D24*D15</f>
        <v>26423718.749999996</v>
      </c>
      <c r="E23" s="14">
        <f>E24*E15</f>
        <v>27612786.093749993</v>
      </c>
      <c r="F23" s="14">
        <f t="shared" ref="F23:I23" si="19">F24*F15</f>
        <v>28855361.46796874</v>
      </c>
      <c r="G23" s="14">
        <f t="shared" si="19"/>
        <v>30153852.73402733</v>
      </c>
      <c r="H23" s="14">
        <f t="shared" si="19"/>
        <v>31510776.107058559</v>
      </c>
      <c r="I23" s="14">
        <f t="shared" si="19"/>
        <v>32928761.031876191</v>
      </c>
    </row>
    <row r="24" spans="2:9" x14ac:dyDescent="0.3">
      <c r="B24" s="4" t="s">
        <v>78</v>
      </c>
      <c r="C24" t="s">
        <v>79</v>
      </c>
      <c r="D24" s="12">
        <v>117</v>
      </c>
      <c r="E24" s="14">
        <f>D24*(1+E$4)</f>
        <v>122.26499999999999</v>
      </c>
      <c r="F24" s="14">
        <f t="shared" ref="F24:I24" si="20">E24*(1+F$4)</f>
        <v>127.76692499999997</v>
      </c>
      <c r="G24" s="14">
        <f t="shared" si="20"/>
        <v>133.51643662499995</v>
      </c>
      <c r="H24" s="14">
        <f t="shared" si="20"/>
        <v>139.52467627312495</v>
      </c>
      <c r="I24" s="14">
        <f t="shared" si="20"/>
        <v>145.80328670541556</v>
      </c>
    </row>
    <row r="25" spans="2:9" x14ac:dyDescent="0.3">
      <c r="B25" t="s">
        <v>80</v>
      </c>
      <c r="C25" t="s">
        <v>9</v>
      </c>
      <c r="D25" s="14">
        <f>D26*D12</f>
        <v>4065187.5000000009</v>
      </c>
      <c r="E25" s="14">
        <f>E26*E12</f>
        <v>4248120.9375000009</v>
      </c>
      <c r="F25" s="14">
        <f t="shared" ref="F25:I25" si="21">F26*F12</f>
        <v>4439286.3796875002</v>
      </c>
      <c r="G25" s="14">
        <f t="shared" si="21"/>
        <v>4639054.2667734371</v>
      </c>
      <c r="H25" s="14">
        <f t="shared" si="21"/>
        <v>4847811.7087782416</v>
      </c>
      <c r="I25" s="14">
        <f t="shared" si="21"/>
        <v>5065963.2356732627</v>
      </c>
    </row>
    <row r="26" spans="2:9" x14ac:dyDescent="0.3">
      <c r="B26" s="4" t="s">
        <v>81</v>
      </c>
      <c r="C26" t="s">
        <v>82</v>
      </c>
      <c r="D26" s="12">
        <v>30</v>
      </c>
      <c r="E26" s="14">
        <f>D26*(1+E$4)</f>
        <v>31.349999999999998</v>
      </c>
      <c r="F26" s="14">
        <f t="shared" ref="F26:I26" si="22">E26*(1+F$4)</f>
        <v>32.760749999999994</v>
      </c>
      <c r="G26" s="14">
        <f t="shared" si="22"/>
        <v>34.234983749999991</v>
      </c>
      <c r="H26" s="14">
        <f t="shared" si="22"/>
        <v>35.77555801874999</v>
      </c>
      <c r="I26" s="14">
        <f t="shared" si="22"/>
        <v>37.385458129593736</v>
      </c>
    </row>
    <row r="27" spans="2:9" x14ac:dyDescent="0.3">
      <c r="B27" t="s">
        <v>83</v>
      </c>
      <c r="C27" t="s">
        <v>9</v>
      </c>
      <c r="D27" s="14">
        <f>D28*D14</f>
        <v>3000000</v>
      </c>
      <c r="E27" s="14">
        <f>E28*E14</f>
        <v>3135000</v>
      </c>
      <c r="F27" s="14">
        <f t="shared" ref="F27:I27" si="23">F28*F14</f>
        <v>3276074.9999999995</v>
      </c>
      <c r="G27" s="14">
        <f t="shared" si="23"/>
        <v>3423498.3749999991</v>
      </c>
      <c r="H27" s="14">
        <f t="shared" si="23"/>
        <v>3577555.801874999</v>
      </c>
      <c r="I27" s="14">
        <f t="shared" si="23"/>
        <v>3738545.812959373</v>
      </c>
    </row>
    <row r="28" spans="2:9" x14ac:dyDescent="0.3">
      <c r="B28" s="4" t="s">
        <v>84</v>
      </c>
      <c r="C28" t="s">
        <v>85</v>
      </c>
      <c r="D28" s="12">
        <v>25</v>
      </c>
      <c r="E28" s="14">
        <f>D28*(1+E$4)</f>
        <v>26.125</v>
      </c>
      <c r="F28" s="14">
        <f t="shared" ref="F28:I28" si="24">E28*(1+F$4)</f>
        <v>27.300624999999997</v>
      </c>
      <c r="G28" s="14">
        <f t="shared" si="24"/>
        <v>28.529153124999993</v>
      </c>
      <c r="H28" s="14">
        <f t="shared" si="24"/>
        <v>29.812965015624989</v>
      </c>
      <c r="I28" s="14">
        <f t="shared" si="24"/>
        <v>31.15454844132811</v>
      </c>
    </row>
    <row r="29" spans="2:9" x14ac:dyDescent="0.3">
      <c r="B29" t="s">
        <v>86</v>
      </c>
      <c r="C29" t="s">
        <v>9</v>
      </c>
      <c r="D29" s="14">
        <f>D14*D30*D31</f>
        <v>2700000</v>
      </c>
      <c r="E29" s="14">
        <f>E14*E30*E31</f>
        <v>2821500</v>
      </c>
      <c r="F29" s="14">
        <f t="shared" ref="F29:I29" si="25">F14*F30*F31</f>
        <v>2948467.5</v>
      </c>
      <c r="G29" s="14">
        <f t="shared" si="25"/>
        <v>3081148.5374999996</v>
      </c>
      <c r="H29" s="14">
        <f t="shared" si="25"/>
        <v>3219800.2216874994</v>
      </c>
      <c r="I29" s="14">
        <f t="shared" si="25"/>
        <v>3364691.2316634371</v>
      </c>
    </row>
    <row r="30" spans="2:9" x14ac:dyDescent="0.3">
      <c r="B30" s="4" t="s">
        <v>7</v>
      </c>
      <c r="C30" t="s">
        <v>6</v>
      </c>
      <c r="D30" s="8">
        <v>50</v>
      </c>
      <c r="E30" s="9">
        <f>D30</f>
        <v>50</v>
      </c>
      <c r="F30" s="9">
        <f t="shared" ref="F30:I30" si="26">E30</f>
        <v>50</v>
      </c>
      <c r="G30" s="9">
        <f t="shared" si="26"/>
        <v>50</v>
      </c>
      <c r="H30" s="9">
        <f t="shared" si="26"/>
        <v>50</v>
      </c>
      <c r="I30" s="9">
        <f t="shared" si="26"/>
        <v>50</v>
      </c>
    </row>
    <row r="31" spans="2:9" x14ac:dyDescent="0.3">
      <c r="B31" t="s">
        <v>38</v>
      </c>
      <c r="C31" t="s">
        <v>2</v>
      </c>
      <c r="D31" s="13">
        <v>0.45</v>
      </c>
      <c r="E31" s="23">
        <f>D31*(1+E$4)</f>
        <v>0.47025</v>
      </c>
      <c r="F31" s="23">
        <f t="shared" ref="F31:I31" si="27">E31*(1+F$4)</f>
        <v>0.49141124999999997</v>
      </c>
      <c r="G31" s="23">
        <f t="shared" si="27"/>
        <v>0.51352475624999994</v>
      </c>
      <c r="H31" s="23">
        <f t="shared" si="27"/>
        <v>0.53663337028124991</v>
      </c>
      <c r="I31" s="23">
        <f t="shared" si="27"/>
        <v>0.56078187194390616</v>
      </c>
    </row>
    <row r="33" spans="2:9" x14ac:dyDescent="0.3">
      <c r="B33" s="4" t="s">
        <v>39</v>
      </c>
      <c r="C33" t="s">
        <v>9</v>
      </c>
      <c r="D33" s="15">
        <f>D34+D38</f>
        <v>2207600</v>
      </c>
      <c r="E33" s="15">
        <f>E34+E38</f>
        <v>2285360</v>
      </c>
      <c r="F33" s="15">
        <f t="shared" ref="F33:I33" si="28">F34+F38</f>
        <v>2366619.1999999997</v>
      </c>
      <c r="G33" s="15">
        <f t="shared" si="28"/>
        <v>2451535.0639999993</v>
      </c>
      <c r="H33" s="15">
        <f t="shared" si="28"/>
        <v>2540272.1418799991</v>
      </c>
      <c r="I33" s="15">
        <f t="shared" si="28"/>
        <v>2633002.3882645993</v>
      </c>
    </row>
    <row r="34" spans="2:9" x14ac:dyDescent="0.3">
      <c r="B34" t="s">
        <v>87</v>
      </c>
      <c r="C34" t="s">
        <v>9</v>
      </c>
      <c r="D34" s="14">
        <f>D35*D36*12*(1+D37)</f>
        <v>1728000</v>
      </c>
      <c r="E34" s="14">
        <f>E35*E36*12*(1+E37)</f>
        <v>1805760</v>
      </c>
      <c r="F34" s="14">
        <f t="shared" ref="F34:I34" si="29">F35*F36*12*(1+F37)</f>
        <v>1887019.1999999997</v>
      </c>
      <c r="G34" s="14">
        <f t="shared" si="29"/>
        <v>1971935.0639999995</v>
      </c>
      <c r="H34" s="14">
        <f t="shared" si="29"/>
        <v>2060672.1418799993</v>
      </c>
      <c r="I34" s="14">
        <f t="shared" si="29"/>
        <v>2153402.3882645993</v>
      </c>
    </row>
    <row r="35" spans="2:9" x14ac:dyDescent="0.3">
      <c r="B35" t="s">
        <v>40</v>
      </c>
      <c r="C35" t="s">
        <v>41</v>
      </c>
      <c r="D35" s="19">
        <v>20</v>
      </c>
      <c r="E35" s="18">
        <f>D35</f>
        <v>20</v>
      </c>
      <c r="F35" s="18">
        <f t="shared" ref="F35:I35" si="30">E35</f>
        <v>20</v>
      </c>
      <c r="G35" s="18">
        <f t="shared" si="30"/>
        <v>20</v>
      </c>
      <c r="H35" s="18">
        <f t="shared" si="30"/>
        <v>20</v>
      </c>
      <c r="I35" s="18">
        <f t="shared" si="30"/>
        <v>20</v>
      </c>
    </row>
    <row r="36" spans="2:9" x14ac:dyDescent="0.3">
      <c r="B36" t="s">
        <v>42</v>
      </c>
      <c r="C36" t="s">
        <v>9</v>
      </c>
      <c r="D36" s="12">
        <v>4000</v>
      </c>
      <c r="E36" s="14">
        <f>D36*(1+E$4)</f>
        <v>4180</v>
      </c>
      <c r="F36" s="14">
        <f t="shared" ref="F36:I36" si="31">E36*(1+F$4)</f>
        <v>4368.0999999999995</v>
      </c>
      <c r="G36" s="14">
        <f t="shared" si="31"/>
        <v>4564.664499999999</v>
      </c>
      <c r="H36" s="14">
        <f t="shared" si="31"/>
        <v>4770.0744024999985</v>
      </c>
      <c r="I36" s="14">
        <f t="shared" si="31"/>
        <v>4984.7277506124983</v>
      </c>
    </row>
    <row r="37" spans="2:9" x14ac:dyDescent="0.3">
      <c r="B37" t="s">
        <v>43</v>
      </c>
      <c r="C37" t="s">
        <v>4</v>
      </c>
      <c r="D37" s="7">
        <v>0.8</v>
      </c>
      <c r="E37" s="11">
        <f>D37</f>
        <v>0.8</v>
      </c>
      <c r="F37" s="11">
        <f t="shared" ref="F37:I37" si="32">E37</f>
        <v>0.8</v>
      </c>
      <c r="G37" s="11">
        <f t="shared" si="32"/>
        <v>0.8</v>
      </c>
      <c r="H37" s="11">
        <f t="shared" si="32"/>
        <v>0.8</v>
      </c>
      <c r="I37" s="11">
        <f t="shared" si="32"/>
        <v>0.8</v>
      </c>
    </row>
    <row r="38" spans="2:9" x14ac:dyDescent="0.3">
      <c r="B38" t="s">
        <v>88</v>
      </c>
      <c r="C38" t="s">
        <v>9</v>
      </c>
      <c r="D38" s="14">
        <f>D39*CAPEX!$D$3</f>
        <v>479600</v>
      </c>
      <c r="E38" s="14">
        <f>E39*CAPEX!$D$3</f>
        <v>479600</v>
      </c>
      <c r="F38" s="14">
        <f>F39*CAPEX!$D$3</f>
        <v>479600</v>
      </c>
      <c r="G38" s="14">
        <f>G39*CAPEX!$D$3</f>
        <v>479600</v>
      </c>
      <c r="H38" s="14">
        <f>H39*CAPEX!$D$3</f>
        <v>479600</v>
      </c>
      <c r="I38" s="14">
        <f>I39*CAPEX!$D$3</f>
        <v>479600</v>
      </c>
    </row>
    <row r="39" spans="2:9" x14ac:dyDescent="0.3">
      <c r="B39" t="s">
        <v>44</v>
      </c>
      <c r="C39" t="s">
        <v>4</v>
      </c>
      <c r="D39" s="7">
        <v>0.04</v>
      </c>
      <c r="E39" s="11">
        <f>D39</f>
        <v>0.04</v>
      </c>
      <c r="F39" s="11">
        <f t="shared" ref="F39:I39" si="33">E39</f>
        <v>0.04</v>
      </c>
      <c r="G39" s="11">
        <f t="shared" si="33"/>
        <v>0.04</v>
      </c>
      <c r="H39" s="11">
        <f t="shared" si="33"/>
        <v>0.04</v>
      </c>
      <c r="I39" s="11">
        <f t="shared" si="33"/>
        <v>0.04</v>
      </c>
    </row>
    <row r="41" spans="2:9" x14ac:dyDescent="0.3">
      <c r="B41" s="4" t="s">
        <v>45</v>
      </c>
      <c r="C41" t="s">
        <v>9</v>
      </c>
      <c r="D41" s="15">
        <f>D20-D22-D33</f>
        <v>1347493.75</v>
      </c>
      <c r="E41" s="15">
        <f>E20-E22-E33</f>
        <v>1429712.9687500075</v>
      </c>
      <c r="F41" s="15">
        <f t="shared" ref="F41:I41" si="34">F20-F22-F33</f>
        <v>1515632.0523437592</v>
      </c>
      <c r="G41" s="15">
        <f t="shared" si="34"/>
        <v>1605417.4946992211</v>
      </c>
      <c r="H41" s="15">
        <f t="shared" si="34"/>
        <v>1699243.2819606951</v>
      </c>
      <c r="I41" s="15">
        <f t="shared" si="34"/>
        <v>1797291.2296489226</v>
      </c>
    </row>
    <row r="42" spans="2:9" x14ac:dyDescent="0.3">
      <c r="B42" t="s">
        <v>57</v>
      </c>
      <c r="C42" t="s">
        <v>4</v>
      </c>
      <c r="D42" s="11">
        <f>D41/D20</f>
        <v>3.3904331471417068E-2</v>
      </c>
      <c r="E42" s="11">
        <f>E41/E20</f>
        <v>3.4423972966459201E-2</v>
      </c>
      <c r="F42" s="11">
        <f t="shared" ref="F42:I42" si="35">F41/F20</f>
        <v>3.4921237555016131E-2</v>
      </c>
      <c r="G42" s="11">
        <f t="shared" si="35"/>
        <v>3.5397088835931664E-2</v>
      </c>
      <c r="H42" s="11">
        <f t="shared" si="35"/>
        <v>3.585244891336313E-2</v>
      </c>
      <c r="I42" s="11">
        <f t="shared" si="35"/>
        <v>3.628820018363222E-2</v>
      </c>
    </row>
    <row r="44" spans="2:9" x14ac:dyDescent="0.3">
      <c r="B44" s="20" t="s">
        <v>93</v>
      </c>
      <c r="C44" t="s">
        <v>9</v>
      </c>
      <c r="D44" s="24">
        <f>D45*D8</f>
        <v>2890800</v>
      </c>
      <c r="E44" s="24">
        <f>E45*E8</f>
        <v>3020886</v>
      </c>
      <c r="F44" s="24">
        <f t="shared" ref="F44:I44" si="36">F45*F8</f>
        <v>3156825.8699999996</v>
      </c>
      <c r="G44" s="24">
        <f t="shared" si="36"/>
        <v>3298883.0341499993</v>
      </c>
      <c r="H44" s="24">
        <f t="shared" si="36"/>
        <v>3447332.7706867494</v>
      </c>
      <c r="I44" s="24">
        <f t="shared" si="36"/>
        <v>3602462.7453676527</v>
      </c>
    </row>
    <row r="45" spans="2:9" x14ac:dyDescent="0.3">
      <c r="B45" t="s">
        <v>94</v>
      </c>
      <c r="C45" t="s">
        <v>95</v>
      </c>
      <c r="D45" s="13">
        <v>8</v>
      </c>
      <c r="E45" s="23">
        <f>D45*(1+E$4)</f>
        <v>8.36</v>
      </c>
      <c r="F45" s="23">
        <f t="shared" ref="F45:I45" si="37">E45*(1+F$4)</f>
        <v>8.7361999999999984</v>
      </c>
      <c r="G45" s="23">
        <f t="shared" si="37"/>
        <v>9.1293289999999985</v>
      </c>
      <c r="H45" s="23">
        <f t="shared" si="37"/>
        <v>9.5401488049999976</v>
      </c>
      <c r="I45" s="23">
        <f t="shared" si="37"/>
        <v>9.9694555012249975</v>
      </c>
    </row>
    <row r="46" spans="2:9" x14ac:dyDescent="0.3">
      <c r="B46" t="s">
        <v>89</v>
      </c>
      <c r="C46" t="s">
        <v>9</v>
      </c>
      <c r="D46" s="14">
        <f>D47*12</f>
        <v>360000</v>
      </c>
      <c r="E46" s="14">
        <f>E47*12</f>
        <v>376199.99999999994</v>
      </c>
      <c r="F46" s="14">
        <f t="shared" ref="F46:I46" si="38">F47*12</f>
        <v>393128.99999999988</v>
      </c>
      <c r="G46" s="14">
        <f t="shared" si="38"/>
        <v>410819.80499999993</v>
      </c>
      <c r="H46" s="14">
        <f t="shared" si="38"/>
        <v>429306.69622499985</v>
      </c>
      <c r="I46" s="14">
        <f t="shared" si="38"/>
        <v>448625.49755512481</v>
      </c>
    </row>
    <row r="47" spans="2:9" x14ac:dyDescent="0.3">
      <c r="B47" s="4" t="s">
        <v>96</v>
      </c>
      <c r="C47" t="s">
        <v>46</v>
      </c>
      <c r="D47" s="34">
        <v>30000</v>
      </c>
      <c r="E47" s="15">
        <f>D47*(1+E$4)</f>
        <v>31349.999999999996</v>
      </c>
      <c r="F47" s="15">
        <f t="shared" ref="F47:I47" si="39">E47*(1+F$4)</f>
        <v>32760.749999999993</v>
      </c>
      <c r="G47" s="15">
        <f t="shared" si="39"/>
        <v>34234.983749999992</v>
      </c>
      <c r="H47" s="15">
        <f t="shared" si="39"/>
        <v>35775.558018749987</v>
      </c>
      <c r="I47" s="15">
        <f t="shared" si="39"/>
        <v>37385.458129593731</v>
      </c>
    </row>
    <row r="48" spans="2:9" x14ac:dyDescent="0.3">
      <c r="B48" t="s">
        <v>147</v>
      </c>
      <c r="C48" t="s">
        <v>4</v>
      </c>
      <c r="D48" s="11">
        <f>D47/D20</f>
        <v>7.5483091787439613E-4</v>
      </c>
      <c r="E48" s="11">
        <f>E47/E20</f>
        <v>7.5483091787439602E-4</v>
      </c>
      <c r="F48" s="11">
        <f t="shared" ref="F48:I48" si="40">F47/F20</f>
        <v>7.5483091787439602E-4</v>
      </c>
      <c r="G48" s="11">
        <f t="shared" si="40"/>
        <v>7.5483091787439613E-4</v>
      </c>
      <c r="H48" s="11">
        <f t="shared" si="40"/>
        <v>7.5483091787439602E-4</v>
      </c>
      <c r="I48" s="11">
        <f t="shared" si="40"/>
        <v>7.5483091787439602E-4</v>
      </c>
    </row>
    <row r="49" spans="2:9" x14ac:dyDescent="0.3">
      <c r="B49" s="4" t="s">
        <v>58</v>
      </c>
      <c r="C49" t="s">
        <v>9</v>
      </c>
      <c r="D49" s="26">
        <f>D41+D44-D46</f>
        <v>3878293.75</v>
      </c>
      <c r="E49" s="26">
        <f>E41+E44-E46</f>
        <v>4074398.9687500075</v>
      </c>
      <c r="F49" s="26">
        <f t="shared" ref="F49:I49" si="41">F41+F44-F46</f>
        <v>4279328.9223437589</v>
      </c>
      <c r="G49" s="26">
        <f t="shared" si="41"/>
        <v>4493480.7238492202</v>
      </c>
      <c r="H49" s="26">
        <f t="shared" si="41"/>
        <v>4717269.3564224448</v>
      </c>
      <c r="I49" s="26">
        <f t="shared" si="41"/>
        <v>4951128.4774614507</v>
      </c>
    </row>
    <row r="50" spans="2:9" x14ac:dyDescent="0.3">
      <c r="B50" s="4" t="s">
        <v>47</v>
      </c>
      <c r="C50" t="s">
        <v>4</v>
      </c>
      <c r="D50" s="35">
        <f>D49/D20</f>
        <v>9.7581867703301128E-2</v>
      </c>
      <c r="E50" s="35">
        <f>E49/E20</f>
        <v>9.8101509198343262E-2</v>
      </c>
      <c r="F50" s="35">
        <f t="shared" ref="F50:I50" si="42">F49/F20</f>
        <v>9.8598773786900185E-2</v>
      </c>
      <c r="G50" s="35">
        <f t="shared" si="42"/>
        <v>9.9074625067815711E-2</v>
      </c>
      <c r="H50" s="35">
        <f t="shared" si="42"/>
        <v>9.9529985145247205E-2</v>
      </c>
      <c r="I50" s="35">
        <f t="shared" si="42"/>
        <v>9.9965736415516288E-2</v>
      </c>
    </row>
    <row r="51" spans="2:9" x14ac:dyDescent="0.3">
      <c r="B51" t="s">
        <v>90</v>
      </c>
      <c r="C51" t="s">
        <v>9</v>
      </c>
      <c r="D51" s="24">
        <f>CAPEX!D10</f>
        <v>0</v>
      </c>
      <c r="E51" s="24">
        <f>CAPEX!E10</f>
        <v>1199000</v>
      </c>
      <c r="F51" s="24">
        <f>CAPEX!F10</f>
        <v>1199000</v>
      </c>
      <c r="G51" s="24">
        <f>CAPEX!G10</f>
        <v>1199000</v>
      </c>
      <c r="H51" s="24">
        <f>CAPEX!H10</f>
        <v>1199000</v>
      </c>
      <c r="I51" s="24">
        <f>CAPEX!I10</f>
        <v>1199000</v>
      </c>
    </row>
    <row r="52" spans="2:9" x14ac:dyDescent="0.3">
      <c r="B52" s="4" t="s">
        <v>48</v>
      </c>
      <c r="C52" t="s">
        <v>9</v>
      </c>
      <c r="D52" s="15">
        <f>D49-D51</f>
        <v>3878293.75</v>
      </c>
      <c r="E52" s="15">
        <f>E49-E51</f>
        <v>2875398.9687500075</v>
      </c>
      <c r="F52" s="15">
        <f t="shared" ref="F52:I52" si="43">F49-F51</f>
        <v>3080328.9223437589</v>
      </c>
      <c r="G52" s="15">
        <f t="shared" si="43"/>
        <v>3294480.7238492202</v>
      </c>
      <c r="H52" s="15">
        <f t="shared" si="43"/>
        <v>3518269.3564224448</v>
      </c>
      <c r="I52" s="15">
        <f t="shared" si="43"/>
        <v>3752128.4774614507</v>
      </c>
    </row>
    <row r="53" spans="2:9" x14ac:dyDescent="0.3">
      <c r="B53" t="s">
        <v>49</v>
      </c>
      <c r="C53" t="s">
        <v>4</v>
      </c>
      <c r="D53" s="36">
        <f>D52/D20</f>
        <v>9.7581867703301128E-2</v>
      </c>
      <c r="E53" s="36">
        <f>E52/E20</f>
        <v>6.923253725156811E-2</v>
      </c>
      <c r="F53" s="36">
        <f t="shared" ref="F53:I53" si="44">F52/F20</f>
        <v>7.097296331151727E-2</v>
      </c>
      <c r="G53" s="36">
        <f t="shared" si="44"/>
        <v>7.2638442794722008E-2</v>
      </c>
      <c r="H53" s="36">
        <f t="shared" si="44"/>
        <v>7.4232203065731694E-2</v>
      </c>
      <c r="I53" s="36">
        <f t="shared" si="44"/>
        <v>7.5757332511673686E-2</v>
      </c>
    </row>
    <row r="54" spans="2:9" x14ac:dyDescent="0.3">
      <c r="B54" s="4" t="s">
        <v>50</v>
      </c>
      <c r="C54" t="s">
        <v>9</v>
      </c>
      <c r="D54" s="15">
        <v>0</v>
      </c>
      <c r="E54" s="15">
        <v>0</v>
      </c>
      <c r="F54" s="15">
        <v>0</v>
      </c>
      <c r="G54" s="15">
        <v>0</v>
      </c>
      <c r="H54" s="15">
        <v>0</v>
      </c>
      <c r="I54" s="15">
        <v>0</v>
      </c>
    </row>
    <row r="55" spans="2:9" x14ac:dyDescent="0.3">
      <c r="B55" t="s">
        <v>91</v>
      </c>
      <c r="C55" t="s">
        <v>9</v>
      </c>
      <c r="D55" s="24">
        <f>Dívida!D18</f>
        <v>0</v>
      </c>
      <c r="E55" s="24">
        <f>Dívida!E18</f>
        <v>1594670</v>
      </c>
      <c r="F55" s="24">
        <f>Dívida!F18</f>
        <v>1594670</v>
      </c>
      <c r="G55" s="24">
        <f>Dívida!G18</f>
        <v>1196002.5</v>
      </c>
      <c r="H55" s="24">
        <f>Dívida!H18</f>
        <v>797335</v>
      </c>
      <c r="I55" s="24">
        <f>Dívida!I18</f>
        <v>398667.5</v>
      </c>
    </row>
    <row r="56" spans="2:9" x14ac:dyDescent="0.3">
      <c r="B56" s="4" t="s">
        <v>51</v>
      </c>
      <c r="C56" t="s">
        <v>9</v>
      </c>
      <c r="D56" s="34">
        <f>D52+D54-D55</f>
        <v>3878293.75</v>
      </c>
      <c r="E56" s="15">
        <f>E52+E54-E55</f>
        <v>1280728.9687500075</v>
      </c>
      <c r="F56" s="15">
        <f t="shared" ref="F56:I56" si="45">F52+F54-F55</f>
        <v>1485658.9223437589</v>
      </c>
      <c r="G56" s="15">
        <f t="shared" si="45"/>
        <v>2098478.2238492202</v>
      </c>
      <c r="H56" s="15">
        <f t="shared" si="45"/>
        <v>2720934.3564224448</v>
      </c>
      <c r="I56" s="15">
        <f t="shared" si="45"/>
        <v>3353460.9774614507</v>
      </c>
    </row>
    <row r="57" spans="2:9" x14ac:dyDescent="0.3">
      <c r="B57" s="4" t="s">
        <v>92</v>
      </c>
      <c r="C57" t="s">
        <v>9</v>
      </c>
      <c r="D57" s="15">
        <f>IF(D56&gt;0,D58*D56,0)</f>
        <v>1318619.875</v>
      </c>
      <c r="E57" s="15">
        <f>IF(E56&gt;0,E58*E56,0)</f>
        <v>435447.84937500255</v>
      </c>
      <c r="F57" s="15">
        <f t="shared" ref="F57:I57" si="46">IF(F56&gt;0,F58*F56,0)</f>
        <v>505124.03359687806</v>
      </c>
      <c r="G57" s="15">
        <f t="shared" si="46"/>
        <v>713482.59610873496</v>
      </c>
      <c r="H57" s="15">
        <f t="shared" si="46"/>
        <v>925117.6811836313</v>
      </c>
      <c r="I57" s="15">
        <f t="shared" si="46"/>
        <v>1140176.7323368934</v>
      </c>
    </row>
    <row r="58" spans="2:9" x14ac:dyDescent="0.3">
      <c r="B58" t="s">
        <v>52</v>
      </c>
      <c r="C58" t="s">
        <v>4</v>
      </c>
      <c r="D58" s="7">
        <v>0.34</v>
      </c>
      <c r="E58" s="11">
        <f>D58</f>
        <v>0.34</v>
      </c>
      <c r="F58" s="11">
        <f t="shared" ref="F58:I58" si="47">E58</f>
        <v>0.34</v>
      </c>
      <c r="G58" s="11">
        <f t="shared" si="47"/>
        <v>0.34</v>
      </c>
      <c r="H58" s="11">
        <f t="shared" si="47"/>
        <v>0.34</v>
      </c>
      <c r="I58" s="11">
        <f t="shared" si="47"/>
        <v>0.34</v>
      </c>
    </row>
    <row r="59" spans="2:9" x14ac:dyDescent="0.3">
      <c r="B59" s="4" t="s">
        <v>53</v>
      </c>
      <c r="C59" t="s">
        <v>9</v>
      </c>
      <c r="D59" s="15">
        <f>D56-D57</f>
        <v>2559673.875</v>
      </c>
      <c r="E59" s="15">
        <f>E56-E57</f>
        <v>845281.1193750049</v>
      </c>
      <c r="F59" s="15">
        <f t="shared" ref="F59:I59" si="48">F56-F57</f>
        <v>980534.88874688081</v>
      </c>
      <c r="G59" s="15">
        <f t="shared" si="48"/>
        <v>1384995.6277404851</v>
      </c>
      <c r="H59" s="15">
        <f t="shared" si="48"/>
        <v>1795816.6752388135</v>
      </c>
      <c r="I59" s="15">
        <f t="shared" si="48"/>
        <v>2213284.2451245571</v>
      </c>
    </row>
    <row r="60" spans="2:9" x14ac:dyDescent="0.3">
      <c r="B60" s="4" t="s">
        <v>54</v>
      </c>
      <c r="C60" t="s">
        <v>4</v>
      </c>
      <c r="D60" s="11">
        <f>D59/D20</f>
        <v>6.4404032684178741E-2</v>
      </c>
      <c r="E60" s="11">
        <f>E59/E20</f>
        <v>2.0352291011155724E-2</v>
      </c>
      <c r="F60" s="11">
        <f t="shared" ref="F60:I60" si="49">F59/F20</f>
        <v>2.2592219350310267E-2</v>
      </c>
      <c r="G60" s="11">
        <f t="shared" si="49"/>
        <v>3.0537111645025278E-2</v>
      </c>
      <c r="H60" s="11">
        <f t="shared" si="49"/>
        <v>3.7890057468683555E-2</v>
      </c>
      <c r="I60" s="11">
        <f t="shared" si="49"/>
        <v>4.468730522100637E-2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07D2E-9986-4679-9CA4-DA7192BA5189}">
  <dimension ref="B1:I24"/>
  <sheetViews>
    <sheetView workbookViewId="0">
      <selection activeCell="D21" sqref="D21"/>
    </sheetView>
  </sheetViews>
  <sheetFormatPr defaultRowHeight="14.4" x14ac:dyDescent="0.3"/>
  <cols>
    <col min="2" max="2" width="42.5546875" customWidth="1"/>
    <col min="3" max="3" width="13.88671875" customWidth="1"/>
    <col min="4" max="9" width="17.5546875" customWidth="1"/>
  </cols>
  <sheetData>
    <row r="1" spans="2:9" ht="17.399999999999999" x14ac:dyDescent="0.35">
      <c r="B1" s="25" t="s">
        <v>55</v>
      </c>
      <c r="C1" s="21"/>
      <c r="D1" s="21"/>
      <c r="E1" s="21"/>
      <c r="F1" s="21"/>
      <c r="G1" s="21"/>
      <c r="H1" s="21"/>
      <c r="I1" s="21"/>
    </row>
    <row r="2" spans="2:9" ht="15" thickBot="1" x14ac:dyDescent="0.35">
      <c r="B2" s="28"/>
      <c r="C2" s="29" t="s">
        <v>0</v>
      </c>
      <c r="D2" s="30">
        <f>Página1!D2</f>
        <v>2026</v>
      </c>
      <c r="E2" s="30">
        <f>D2+1</f>
        <v>2027</v>
      </c>
      <c r="F2" s="30">
        <f t="shared" ref="F2:I2" si="0">E2+1</f>
        <v>2028</v>
      </c>
      <c r="G2" s="30">
        <f t="shared" si="0"/>
        <v>2029</v>
      </c>
      <c r="H2" s="30">
        <f t="shared" si="0"/>
        <v>2030</v>
      </c>
      <c r="I2" s="30">
        <f t="shared" si="0"/>
        <v>2031</v>
      </c>
    </row>
    <row r="3" spans="2:9" x14ac:dyDescent="0.3">
      <c r="B3" s="22" t="s">
        <v>34</v>
      </c>
      <c r="C3" s="21" t="s">
        <v>9</v>
      </c>
      <c r="D3" s="26">
        <f>Página1!D17</f>
        <v>43200000</v>
      </c>
      <c r="E3" s="26">
        <f>Página1!E17</f>
        <v>45144000</v>
      </c>
      <c r="F3" s="26">
        <f>Página1!F17</f>
        <v>47175479.999999993</v>
      </c>
      <c r="G3" s="26">
        <f>Página1!G17</f>
        <v>49298376.599999987</v>
      </c>
      <c r="H3" s="26">
        <f>Página1!H17</f>
        <v>51516803.546999983</v>
      </c>
      <c r="I3" s="26">
        <f>Página1!I17</f>
        <v>53835059.706614986</v>
      </c>
    </row>
    <row r="4" spans="2:9" x14ac:dyDescent="0.3">
      <c r="B4" s="21" t="s">
        <v>56</v>
      </c>
      <c r="C4" s="21" t="s">
        <v>4</v>
      </c>
      <c r="D4" s="21"/>
      <c r="E4" s="11">
        <f>E3/D3-1</f>
        <v>4.4999999999999929E-2</v>
      </c>
      <c r="F4" s="11">
        <f t="shared" ref="F4:I4" si="1">F3/E3-1</f>
        <v>4.4999999999999929E-2</v>
      </c>
      <c r="G4" s="11">
        <f t="shared" si="1"/>
        <v>4.4999999999999929E-2</v>
      </c>
      <c r="H4" s="11">
        <f t="shared" si="1"/>
        <v>4.4999999999999929E-2</v>
      </c>
      <c r="I4" s="11">
        <f t="shared" si="1"/>
        <v>4.5000000000000151E-2</v>
      </c>
    </row>
    <row r="5" spans="2:9" x14ac:dyDescent="0.3">
      <c r="B5" s="21" t="s">
        <v>35</v>
      </c>
      <c r="C5" s="21" t="s">
        <v>9</v>
      </c>
      <c r="D5" s="24">
        <f>Página1!D18</f>
        <v>3456000</v>
      </c>
      <c r="E5" s="24">
        <f>Página1!E18</f>
        <v>3611520</v>
      </c>
      <c r="F5" s="24">
        <f>Página1!F18</f>
        <v>3774038.3999999994</v>
      </c>
      <c r="G5" s="24">
        <f>Página1!G18</f>
        <v>3943870.1279999991</v>
      </c>
      <c r="H5" s="24">
        <f>Página1!H18</f>
        <v>4121344.2837599986</v>
      </c>
      <c r="I5" s="24">
        <f>Página1!I18</f>
        <v>4306804.7765291985</v>
      </c>
    </row>
    <row r="6" spans="2:9" x14ac:dyDescent="0.3">
      <c r="B6" s="22" t="s">
        <v>36</v>
      </c>
      <c r="C6" s="21" t="s">
        <v>9</v>
      </c>
      <c r="D6" s="15">
        <f>D3-D5</f>
        <v>39744000</v>
      </c>
      <c r="E6" s="15">
        <f>E3-E5</f>
        <v>41532480</v>
      </c>
      <c r="F6" s="15">
        <f t="shared" ref="F6:I6" si="2">F3-F5</f>
        <v>43401441.599999994</v>
      </c>
      <c r="G6" s="15">
        <f t="shared" si="2"/>
        <v>45354506.471999988</v>
      </c>
      <c r="H6" s="15">
        <f t="shared" si="2"/>
        <v>47395459.263239987</v>
      </c>
      <c r="I6" s="15">
        <f t="shared" si="2"/>
        <v>49528254.930085786</v>
      </c>
    </row>
    <row r="7" spans="2:9" x14ac:dyDescent="0.3">
      <c r="B7" s="21" t="s">
        <v>56</v>
      </c>
      <c r="C7" s="21" t="s">
        <v>4</v>
      </c>
      <c r="D7" s="21"/>
      <c r="E7" s="11">
        <f>E6/D6-1</f>
        <v>4.4999999999999929E-2</v>
      </c>
      <c r="F7" s="11">
        <f t="shared" ref="F7:I7" si="3">F6/E6-1</f>
        <v>4.4999999999999929E-2</v>
      </c>
      <c r="G7" s="11">
        <f t="shared" si="3"/>
        <v>4.4999999999999929E-2</v>
      </c>
      <c r="H7" s="11">
        <f t="shared" si="3"/>
        <v>4.4999999999999929E-2</v>
      </c>
      <c r="I7" s="11">
        <f t="shared" si="3"/>
        <v>4.4999999999999929E-2</v>
      </c>
    </row>
    <row r="8" spans="2:9" x14ac:dyDescent="0.3">
      <c r="B8" s="21" t="s">
        <v>37</v>
      </c>
      <c r="C8" s="21" t="s">
        <v>9</v>
      </c>
      <c r="D8" s="24">
        <f>Página1!D22</f>
        <v>36188906.25</v>
      </c>
      <c r="E8" s="24">
        <f>Página1!E22</f>
        <v>37817407.031249993</v>
      </c>
      <c r="F8" s="24">
        <f>Página1!F22</f>
        <v>39519190.347656235</v>
      </c>
      <c r="G8" s="24">
        <f>Página1!G22</f>
        <v>41297553.913300768</v>
      </c>
      <c r="H8" s="24">
        <f>Página1!H22</f>
        <v>43155943.839399293</v>
      </c>
      <c r="I8" s="24">
        <f>Página1!I22</f>
        <v>45097961.312172264</v>
      </c>
    </row>
    <row r="9" spans="2:9" x14ac:dyDescent="0.3">
      <c r="B9" s="21" t="s">
        <v>39</v>
      </c>
      <c r="C9" s="21" t="s">
        <v>9</v>
      </c>
      <c r="D9" s="24">
        <f>Página1!D33</f>
        <v>2207600</v>
      </c>
      <c r="E9" s="24">
        <f>Página1!E33</f>
        <v>2285360</v>
      </c>
      <c r="F9" s="24">
        <f>Página1!F33</f>
        <v>2366619.1999999997</v>
      </c>
      <c r="G9" s="24">
        <f>Página1!G33</f>
        <v>2451535.0639999993</v>
      </c>
      <c r="H9" s="24">
        <f>Página1!H33</f>
        <v>2540272.1418799991</v>
      </c>
      <c r="I9" s="24">
        <f>Página1!I33</f>
        <v>2633002.3882645993</v>
      </c>
    </row>
    <row r="10" spans="2:9" x14ac:dyDescent="0.3">
      <c r="B10" s="22" t="s">
        <v>45</v>
      </c>
      <c r="C10" s="21" t="s">
        <v>9</v>
      </c>
      <c r="D10" s="15">
        <f>D6-D8-D9</f>
        <v>1347493.75</v>
      </c>
      <c r="E10" s="15">
        <f>E6-E8-E9</f>
        <v>1429712.9687500075</v>
      </c>
      <c r="F10" s="15">
        <f t="shared" ref="F10:I10" si="4">F6-F8-F9</f>
        <v>1515632.0523437592</v>
      </c>
      <c r="G10" s="15">
        <f t="shared" si="4"/>
        <v>1605417.4946992211</v>
      </c>
      <c r="H10" s="15">
        <f t="shared" si="4"/>
        <v>1699243.2819606951</v>
      </c>
      <c r="I10" s="15">
        <f t="shared" si="4"/>
        <v>1797291.2296489226</v>
      </c>
    </row>
    <row r="11" spans="2:9" x14ac:dyDescent="0.3">
      <c r="B11" s="21" t="s">
        <v>57</v>
      </c>
      <c r="C11" s="21" t="s">
        <v>4</v>
      </c>
      <c r="D11" s="11">
        <f>D10/D$6</f>
        <v>3.3904331471417068E-2</v>
      </c>
      <c r="E11" s="11">
        <f>E10/E$6</f>
        <v>3.4423972966459201E-2</v>
      </c>
      <c r="F11" s="11">
        <f t="shared" ref="F11:I11" si="5">F10/F$6</f>
        <v>3.4921237555016131E-2</v>
      </c>
      <c r="G11" s="11">
        <f t="shared" si="5"/>
        <v>3.5397088835931664E-2</v>
      </c>
      <c r="H11" s="11">
        <f t="shared" si="5"/>
        <v>3.585244891336313E-2</v>
      </c>
      <c r="I11" s="11">
        <f t="shared" si="5"/>
        <v>3.628820018363222E-2</v>
      </c>
    </row>
    <row r="12" spans="2:9" x14ac:dyDescent="0.3">
      <c r="B12" s="37" t="s">
        <v>93</v>
      </c>
      <c r="C12" s="21" t="s">
        <v>9</v>
      </c>
      <c r="D12" s="24">
        <f>Página1!D44</f>
        <v>2890800</v>
      </c>
      <c r="E12" s="24">
        <f>Página1!E44</f>
        <v>3020886</v>
      </c>
      <c r="F12" s="24">
        <f>Página1!F44</f>
        <v>3156825.8699999996</v>
      </c>
      <c r="G12" s="24">
        <f>Página1!G44</f>
        <v>3298883.0341499993</v>
      </c>
      <c r="H12" s="24">
        <f>Página1!H44</f>
        <v>3447332.7706867494</v>
      </c>
      <c r="I12" s="24">
        <f>Página1!I44</f>
        <v>3602462.7453676527</v>
      </c>
    </row>
    <row r="13" spans="2:9" x14ac:dyDescent="0.3">
      <c r="B13" s="22" t="s">
        <v>97</v>
      </c>
      <c r="C13" s="21" t="s">
        <v>9</v>
      </c>
      <c r="D13" s="26">
        <f>Página1!D46</f>
        <v>360000</v>
      </c>
      <c r="E13" s="26">
        <f>Página1!E46</f>
        <v>376199.99999999994</v>
      </c>
      <c r="F13" s="26">
        <f>Página1!F46</f>
        <v>393128.99999999988</v>
      </c>
      <c r="G13" s="26">
        <f>Página1!G46</f>
        <v>410819.80499999993</v>
      </c>
      <c r="H13" s="26">
        <f>Página1!H46</f>
        <v>429306.69622499985</v>
      </c>
      <c r="I13" s="26">
        <f>Página1!I46</f>
        <v>448625.49755512481</v>
      </c>
    </row>
    <row r="14" spans="2:9" x14ac:dyDescent="0.3">
      <c r="B14" s="22" t="s">
        <v>58</v>
      </c>
      <c r="C14" s="21" t="s">
        <v>9</v>
      </c>
      <c r="D14" s="15">
        <f>D10+D12-D13</f>
        <v>3878293.75</v>
      </c>
      <c r="E14" s="15">
        <f>E10+E12-E13</f>
        <v>4074398.9687500075</v>
      </c>
      <c r="F14" s="15">
        <f t="shared" ref="F14:I14" si="6">F10+F12-F13</f>
        <v>4279328.9223437589</v>
      </c>
      <c r="G14" s="15">
        <f t="shared" si="6"/>
        <v>4493480.7238492202</v>
      </c>
      <c r="H14" s="15">
        <f t="shared" si="6"/>
        <v>4717269.3564224448</v>
      </c>
      <c r="I14" s="15">
        <f t="shared" si="6"/>
        <v>4951128.4774614507</v>
      </c>
    </row>
    <row r="15" spans="2:9" x14ac:dyDescent="0.3">
      <c r="B15" s="21" t="s">
        <v>47</v>
      </c>
      <c r="C15" s="21" t="s">
        <v>4</v>
      </c>
      <c r="D15" s="36">
        <f>D14/D$6</f>
        <v>9.7581867703301128E-2</v>
      </c>
      <c r="E15" s="36">
        <f>E14/E$6</f>
        <v>9.8101509198343262E-2</v>
      </c>
      <c r="F15" s="36">
        <f t="shared" ref="F15:I15" si="7">F14/F$6</f>
        <v>9.8598773786900185E-2</v>
      </c>
      <c r="G15" s="36">
        <f t="shared" si="7"/>
        <v>9.9074625067815711E-2</v>
      </c>
      <c r="H15" s="36">
        <f t="shared" si="7"/>
        <v>9.9529985145247205E-2</v>
      </c>
      <c r="I15" s="36">
        <f t="shared" si="7"/>
        <v>9.9965736415516288E-2</v>
      </c>
    </row>
    <row r="16" spans="2:9" x14ac:dyDescent="0.3">
      <c r="B16" s="22" t="s">
        <v>90</v>
      </c>
      <c r="C16" s="21" t="s">
        <v>9</v>
      </c>
      <c r="D16" s="26">
        <f>CAPEX!D10</f>
        <v>0</v>
      </c>
      <c r="E16" s="26">
        <f>CAPEX!E10</f>
        <v>1199000</v>
      </c>
      <c r="F16" s="26">
        <f>CAPEX!F10</f>
        <v>1199000</v>
      </c>
      <c r="G16" s="26">
        <f>CAPEX!G10</f>
        <v>1199000</v>
      </c>
      <c r="H16" s="26">
        <f>CAPEX!H10</f>
        <v>1199000</v>
      </c>
      <c r="I16" s="26">
        <f>CAPEX!I10</f>
        <v>1199000</v>
      </c>
    </row>
    <row r="17" spans="2:9" x14ac:dyDescent="0.3">
      <c r="B17" s="22" t="s">
        <v>48</v>
      </c>
      <c r="C17" s="21" t="s">
        <v>9</v>
      </c>
      <c r="D17" s="15">
        <f>D14-D16</f>
        <v>3878293.75</v>
      </c>
      <c r="E17" s="15">
        <f>E14-E16</f>
        <v>2875398.9687500075</v>
      </c>
      <c r="F17" s="15">
        <f t="shared" ref="F17:I17" si="8">F14-F16</f>
        <v>3080328.9223437589</v>
      </c>
      <c r="G17" s="15">
        <f t="shared" si="8"/>
        <v>3294480.7238492202</v>
      </c>
      <c r="H17" s="15">
        <f t="shared" si="8"/>
        <v>3518269.3564224448</v>
      </c>
      <c r="I17" s="15">
        <f t="shared" si="8"/>
        <v>3752128.4774614507</v>
      </c>
    </row>
    <row r="18" spans="2:9" x14ac:dyDescent="0.3">
      <c r="B18" s="21" t="s">
        <v>49</v>
      </c>
      <c r="C18" s="21" t="s">
        <v>4</v>
      </c>
      <c r="D18" s="36">
        <f>D17/D$6</f>
        <v>9.7581867703301128E-2</v>
      </c>
      <c r="E18" s="36">
        <f>E17/E$6</f>
        <v>6.923253725156811E-2</v>
      </c>
      <c r="F18" s="36">
        <f t="shared" ref="F18:I18" si="9">F17/F$6</f>
        <v>7.097296331151727E-2</v>
      </c>
      <c r="G18" s="36">
        <f t="shared" si="9"/>
        <v>7.2638442794722008E-2</v>
      </c>
      <c r="H18" s="36">
        <f t="shared" si="9"/>
        <v>7.4232203065731694E-2</v>
      </c>
      <c r="I18" s="36">
        <f t="shared" si="9"/>
        <v>7.5757332511673686E-2</v>
      </c>
    </row>
    <row r="19" spans="2:9" x14ac:dyDescent="0.3">
      <c r="B19" s="21" t="s">
        <v>50</v>
      </c>
      <c r="C19" s="21" t="s">
        <v>9</v>
      </c>
      <c r="D19" s="24">
        <f>Página1!D54</f>
        <v>0</v>
      </c>
      <c r="E19" s="24">
        <f>Página1!E54</f>
        <v>0</v>
      </c>
      <c r="F19" s="24">
        <f>Página1!F54</f>
        <v>0</v>
      </c>
      <c r="G19" s="24">
        <f>Página1!G54</f>
        <v>0</v>
      </c>
      <c r="H19" s="24">
        <f>Página1!H54</f>
        <v>0</v>
      </c>
      <c r="I19" s="24">
        <f>Página1!I54</f>
        <v>0</v>
      </c>
    </row>
    <row r="20" spans="2:9" x14ac:dyDescent="0.3">
      <c r="B20" s="22" t="s">
        <v>91</v>
      </c>
      <c r="C20" s="21" t="s">
        <v>9</v>
      </c>
      <c r="D20" s="26">
        <f>Dívida!D18</f>
        <v>0</v>
      </c>
      <c r="E20" s="26">
        <f>Dívida!E18</f>
        <v>1594670</v>
      </c>
      <c r="F20" s="26">
        <f>Dívida!F18</f>
        <v>1594670</v>
      </c>
      <c r="G20" s="26">
        <f>Dívida!G18</f>
        <v>1196002.5</v>
      </c>
      <c r="H20" s="26">
        <f>Dívida!H18</f>
        <v>797335</v>
      </c>
      <c r="I20" s="26">
        <f>Dívida!I18</f>
        <v>398667.5</v>
      </c>
    </row>
    <row r="21" spans="2:9" x14ac:dyDescent="0.3">
      <c r="B21" s="22" t="s">
        <v>51</v>
      </c>
      <c r="C21" s="21" t="s">
        <v>9</v>
      </c>
      <c r="D21" s="15">
        <f>D17+D19-D20</f>
        <v>3878293.75</v>
      </c>
      <c r="E21" s="15">
        <f>E17+E19-E20</f>
        <v>1280728.9687500075</v>
      </c>
      <c r="F21" s="15">
        <f t="shared" ref="F21:I21" si="10">F17+F19-F20</f>
        <v>1485658.9223437589</v>
      </c>
      <c r="G21" s="15">
        <f t="shared" si="10"/>
        <v>2098478.2238492202</v>
      </c>
      <c r="H21" s="15">
        <f t="shared" si="10"/>
        <v>2720934.3564224448</v>
      </c>
      <c r="I21" s="15">
        <f t="shared" si="10"/>
        <v>3353460.9774614507</v>
      </c>
    </row>
    <row r="22" spans="2:9" x14ac:dyDescent="0.3">
      <c r="B22" s="22" t="s">
        <v>92</v>
      </c>
      <c r="C22" s="21" t="s">
        <v>9</v>
      </c>
      <c r="D22" s="15">
        <f>IF(D21&gt;0,Página1!$D$58*D21,0)</f>
        <v>1318619.875</v>
      </c>
      <c r="E22" s="15">
        <f>IF(E21&gt;0,Página1!$D$58*E21,0)</f>
        <v>435447.84937500255</v>
      </c>
      <c r="F22" s="15">
        <f>IF(F21&gt;0,Página1!$D$58*F21,0)</f>
        <v>505124.03359687806</v>
      </c>
      <c r="G22" s="15">
        <f>IF(G21&gt;0,Página1!$D$58*G21,0)</f>
        <v>713482.59610873496</v>
      </c>
      <c r="H22" s="15">
        <f>IF(H21&gt;0,Página1!$D$58*H21,0)</f>
        <v>925117.6811836313</v>
      </c>
      <c r="I22" s="15">
        <f>IF(I21&gt;0,Página1!$D$58*I21,0)</f>
        <v>1140176.7323368934</v>
      </c>
    </row>
    <row r="23" spans="2:9" x14ac:dyDescent="0.3">
      <c r="B23" s="22" t="s">
        <v>53</v>
      </c>
      <c r="C23" s="21" t="s">
        <v>9</v>
      </c>
      <c r="D23" s="15">
        <f>D21-D22</f>
        <v>2559673.875</v>
      </c>
      <c r="E23" s="15">
        <f>E21-E22</f>
        <v>845281.1193750049</v>
      </c>
      <c r="F23" s="15">
        <f t="shared" ref="F23:I23" si="11">F21-F22</f>
        <v>980534.88874688081</v>
      </c>
      <c r="G23" s="15">
        <f t="shared" si="11"/>
        <v>1384995.6277404851</v>
      </c>
      <c r="H23" s="15">
        <f t="shared" si="11"/>
        <v>1795816.6752388135</v>
      </c>
      <c r="I23" s="15">
        <f t="shared" si="11"/>
        <v>2213284.2451245571</v>
      </c>
    </row>
    <row r="24" spans="2:9" x14ac:dyDescent="0.3">
      <c r="B24" s="22" t="s">
        <v>54</v>
      </c>
      <c r="C24" s="21" t="s">
        <v>4</v>
      </c>
      <c r="D24" s="11">
        <f>D23/D$6</f>
        <v>6.4404032684178741E-2</v>
      </c>
      <c r="E24" s="11">
        <f>E23/E$6</f>
        <v>2.0352291011155724E-2</v>
      </c>
      <c r="F24" s="11">
        <f t="shared" ref="F24:I24" si="12">F23/F$6</f>
        <v>2.2592219350310267E-2</v>
      </c>
      <c r="G24" s="11">
        <f t="shared" si="12"/>
        <v>3.0537111645025278E-2</v>
      </c>
      <c r="H24" s="11">
        <f t="shared" si="12"/>
        <v>3.7890057468683555E-2</v>
      </c>
      <c r="I24" s="11">
        <f t="shared" si="12"/>
        <v>4.468730522100637E-2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FE2E-3E91-45B1-83C2-4969D6470CAD}">
  <dimension ref="B1:N21"/>
  <sheetViews>
    <sheetView topLeftCell="B1" zoomScale="71" workbookViewId="0">
      <selection activeCell="N31" sqref="N31"/>
    </sheetView>
  </sheetViews>
  <sheetFormatPr defaultRowHeight="14.4" x14ac:dyDescent="0.3"/>
  <cols>
    <col min="2" max="2" width="42.5546875" customWidth="1"/>
    <col min="3" max="3" width="13.88671875" customWidth="1"/>
    <col min="4" max="9" width="17.5546875" customWidth="1"/>
    <col min="10" max="10" width="13.21875" customWidth="1"/>
    <col min="11" max="14" width="12.109375" bestFit="1" customWidth="1"/>
  </cols>
  <sheetData>
    <row r="1" spans="2:14" ht="17.399999999999999" x14ac:dyDescent="0.35">
      <c r="B1" s="25" t="s">
        <v>8</v>
      </c>
      <c r="C1" s="21"/>
      <c r="D1" s="21"/>
      <c r="E1" s="21"/>
      <c r="F1" s="21"/>
      <c r="G1" s="21"/>
      <c r="H1" s="21"/>
      <c r="I1" s="21"/>
    </row>
    <row r="2" spans="2:14" ht="15" thickBot="1" x14ac:dyDescent="0.35">
      <c r="B2" s="28"/>
      <c r="C2" s="29" t="s">
        <v>0</v>
      </c>
      <c r="D2" s="30">
        <v>2026</v>
      </c>
      <c r="E2" s="30">
        <f>D2+1</f>
        <v>2027</v>
      </c>
      <c r="F2" s="30">
        <f>E2+1</f>
        <v>2028</v>
      </c>
      <c r="G2" s="30">
        <f>F2+1</f>
        <v>2029</v>
      </c>
      <c r="H2" s="30">
        <f>G2+1</f>
        <v>2030</v>
      </c>
      <c r="I2" s="30">
        <f>H2+1</f>
        <v>2031</v>
      </c>
    </row>
    <row r="3" spans="2:14" x14ac:dyDescent="0.3">
      <c r="B3" s="21" t="s">
        <v>121</v>
      </c>
      <c r="C3" s="21" t="s">
        <v>9</v>
      </c>
      <c r="D3" s="41">
        <f>D21</f>
        <v>11990000</v>
      </c>
      <c r="E3" s="21"/>
      <c r="F3" s="21"/>
      <c r="G3" s="21"/>
      <c r="H3" s="21"/>
      <c r="I3" s="21"/>
    </row>
    <row r="4" spans="2:14" x14ac:dyDescent="0.3">
      <c r="B4" s="21" t="s">
        <v>10</v>
      </c>
      <c r="C4" s="21" t="s">
        <v>11</v>
      </c>
      <c r="D4" s="19">
        <v>10</v>
      </c>
      <c r="E4" s="21"/>
      <c r="F4" s="21"/>
      <c r="G4" s="21"/>
      <c r="H4" s="21"/>
      <c r="I4" s="21"/>
    </row>
    <row r="5" spans="2:14" x14ac:dyDescent="0.3">
      <c r="B5" s="21"/>
      <c r="C5" s="21"/>
      <c r="D5" s="21"/>
      <c r="E5" s="21"/>
      <c r="F5" s="21"/>
      <c r="G5" s="21"/>
      <c r="H5" s="21"/>
      <c r="I5" s="21"/>
    </row>
    <row r="6" spans="2:14" x14ac:dyDescent="0.3">
      <c r="B6" s="27" t="s">
        <v>12</v>
      </c>
      <c r="C6" s="21"/>
      <c r="D6" s="21"/>
      <c r="E6" s="21"/>
      <c r="F6" s="21"/>
      <c r="G6" s="21"/>
      <c r="H6" s="21"/>
      <c r="I6" s="21"/>
    </row>
    <row r="7" spans="2:14" x14ac:dyDescent="0.3">
      <c r="B7" s="21"/>
      <c r="C7" s="22" t="s">
        <v>0</v>
      </c>
      <c r="D7" s="17">
        <f>D2</f>
        <v>2026</v>
      </c>
      <c r="E7" s="17">
        <f>E2</f>
        <v>2027</v>
      </c>
      <c r="F7" s="17">
        <f>F2</f>
        <v>2028</v>
      </c>
      <c r="G7" s="17">
        <f>G2</f>
        <v>2029</v>
      </c>
      <c r="H7" s="17">
        <f>H2</f>
        <v>2030</v>
      </c>
      <c r="I7" s="17">
        <f>I2</f>
        <v>2031</v>
      </c>
      <c r="J7" s="31">
        <v>2031</v>
      </c>
      <c r="K7" s="4">
        <v>2032</v>
      </c>
      <c r="L7" s="4">
        <v>2033</v>
      </c>
      <c r="M7" s="4">
        <v>2034</v>
      </c>
      <c r="N7" s="4">
        <v>2035</v>
      </c>
    </row>
    <row r="8" spans="2:14" x14ac:dyDescent="0.3">
      <c r="B8" s="21" t="s">
        <v>13</v>
      </c>
      <c r="C8" s="21" t="s">
        <v>9</v>
      </c>
      <c r="D8" s="14">
        <v>0</v>
      </c>
      <c r="E8" s="14">
        <f>D11</f>
        <v>11990000</v>
      </c>
      <c r="F8" s="14">
        <f t="shared" ref="F8:I8" si="0">E11</f>
        <v>10791000</v>
      </c>
      <c r="G8" s="14">
        <f t="shared" si="0"/>
        <v>9592000</v>
      </c>
      <c r="H8" s="14">
        <f t="shared" si="0"/>
        <v>8393000</v>
      </c>
      <c r="I8" s="14">
        <f t="shared" si="0"/>
        <v>7194000</v>
      </c>
      <c r="J8" s="14">
        <f>I11</f>
        <v>5995000</v>
      </c>
      <c r="K8" s="14">
        <f>J11</f>
        <v>4796000</v>
      </c>
      <c r="L8" s="14">
        <f>K11</f>
        <v>3597000</v>
      </c>
      <c r="M8" s="14">
        <f>L11</f>
        <v>2398000</v>
      </c>
      <c r="N8" s="14">
        <f>M11</f>
        <v>1199000</v>
      </c>
    </row>
    <row r="9" spans="2:14" x14ac:dyDescent="0.3">
      <c r="B9" s="21" t="s">
        <v>14</v>
      </c>
      <c r="C9" s="21" t="s">
        <v>9</v>
      </c>
      <c r="D9" s="14">
        <f>D3</f>
        <v>11990000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f>I9</f>
        <v>0</v>
      </c>
      <c r="K9" s="14">
        <f>J9</f>
        <v>0</v>
      </c>
      <c r="L9" s="14">
        <f>K9</f>
        <v>0</v>
      </c>
      <c r="M9" s="14">
        <f>L9</f>
        <v>0</v>
      </c>
      <c r="N9" s="14">
        <f>M9</f>
        <v>0</v>
      </c>
    </row>
    <row r="10" spans="2:14" x14ac:dyDescent="0.3">
      <c r="B10" s="21" t="s">
        <v>15</v>
      </c>
      <c r="C10" s="21" t="s">
        <v>9</v>
      </c>
      <c r="D10" s="14">
        <v>0</v>
      </c>
      <c r="E10" s="14">
        <f>$D$3/$D$4</f>
        <v>1199000</v>
      </c>
      <c r="F10" s="14">
        <f t="shared" ref="F10:I10" si="1">$D$3/$D$4</f>
        <v>1199000</v>
      </c>
      <c r="G10" s="14">
        <f t="shared" si="1"/>
        <v>1199000</v>
      </c>
      <c r="H10" s="14">
        <f t="shared" si="1"/>
        <v>1199000</v>
      </c>
      <c r="I10" s="14">
        <f t="shared" si="1"/>
        <v>1199000</v>
      </c>
      <c r="J10" s="14">
        <f>I10</f>
        <v>1199000</v>
      </c>
      <c r="K10" s="14">
        <f>J10</f>
        <v>1199000</v>
      </c>
      <c r="L10" s="14">
        <f>K10</f>
        <v>1199000</v>
      </c>
      <c r="M10" s="14">
        <f>L10</f>
        <v>1199000</v>
      </c>
      <c r="N10" s="14">
        <f>M10</f>
        <v>1199000</v>
      </c>
    </row>
    <row r="11" spans="2:14" x14ac:dyDescent="0.3">
      <c r="B11" s="21" t="s">
        <v>16</v>
      </c>
      <c r="C11" s="21" t="s">
        <v>9</v>
      </c>
      <c r="D11" s="15">
        <f>D8+D9-D10</f>
        <v>11990000</v>
      </c>
      <c r="E11" s="15">
        <f>E8+E9-E10</f>
        <v>10791000</v>
      </c>
      <c r="F11" s="15">
        <f t="shared" ref="F11:I11" si="2">F8+F9-F10</f>
        <v>9592000</v>
      </c>
      <c r="G11" s="15">
        <f t="shared" si="2"/>
        <v>8393000</v>
      </c>
      <c r="H11" s="15">
        <f t="shared" si="2"/>
        <v>7194000</v>
      </c>
      <c r="I11" s="15">
        <f t="shared" si="2"/>
        <v>5995000</v>
      </c>
      <c r="J11" s="15">
        <f>J8+J9-J10</f>
        <v>4796000</v>
      </c>
      <c r="K11" s="15">
        <f>K8+K9-K10</f>
        <v>3597000</v>
      </c>
      <c r="L11" s="15">
        <f>L8+L9-L10</f>
        <v>2398000</v>
      </c>
      <c r="M11" s="15">
        <f>M8+M9-M10</f>
        <v>1199000</v>
      </c>
      <c r="N11" s="32">
        <f>N8+N9-N10</f>
        <v>0</v>
      </c>
    </row>
    <row r="13" spans="2:14" x14ac:dyDescent="0.3">
      <c r="B13" s="5" t="s">
        <v>112</v>
      </c>
      <c r="C13" s="5" t="s">
        <v>0</v>
      </c>
      <c r="D13" s="6" t="s">
        <v>9</v>
      </c>
    </row>
    <row r="14" spans="2:14" x14ac:dyDescent="0.3">
      <c r="B14" t="s">
        <v>113</v>
      </c>
      <c r="C14" t="s">
        <v>9</v>
      </c>
      <c r="D14" s="12">
        <v>4500000</v>
      </c>
    </row>
    <row r="15" spans="2:14" x14ac:dyDescent="0.3">
      <c r="B15" t="s">
        <v>114</v>
      </c>
      <c r="C15" t="s">
        <v>9</v>
      </c>
      <c r="D15" s="12">
        <v>2500000</v>
      </c>
    </row>
    <row r="16" spans="2:14" x14ac:dyDescent="0.3">
      <c r="B16" t="s">
        <v>115</v>
      </c>
      <c r="C16" t="s">
        <v>9</v>
      </c>
      <c r="D16" s="12">
        <v>500000</v>
      </c>
    </row>
    <row r="17" spans="2:4" x14ac:dyDescent="0.3">
      <c r="B17" t="s">
        <v>116</v>
      </c>
      <c r="C17" t="s">
        <v>9</v>
      </c>
      <c r="D17" s="12">
        <v>1500000</v>
      </c>
    </row>
    <row r="18" spans="2:4" x14ac:dyDescent="0.3">
      <c r="B18" t="s">
        <v>117</v>
      </c>
      <c r="C18" t="s">
        <v>9</v>
      </c>
      <c r="D18" s="12">
        <v>1400000</v>
      </c>
    </row>
    <row r="19" spans="2:4" x14ac:dyDescent="0.3">
      <c r="B19" t="s">
        <v>118</v>
      </c>
      <c r="C19" t="s">
        <v>9</v>
      </c>
      <c r="D19" s="12">
        <v>500000</v>
      </c>
    </row>
    <row r="20" spans="2:4" x14ac:dyDescent="0.3">
      <c r="B20" t="s">
        <v>119</v>
      </c>
      <c r="C20" t="s">
        <v>9</v>
      </c>
      <c r="D20" s="14">
        <f>0.1*SUM(D14:D19)</f>
        <v>1090000</v>
      </c>
    </row>
    <row r="21" spans="2:4" x14ac:dyDescent="0.3">
      <c r="B21" s="4" t="s">
        <v>120</v>
      </c>
      <c r="C21" t="s">
        <v>9</v>
      </c>
      <c r="D21" s="40">
        <f>SUM(D14:D20)</f>
        <v>11990000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D6F53-9654-430C-B2CD-B6E0365C05D3}">
  <dimension ref="B1:I18"/>
  <sheetViews>
    <sheetView zoomScale="92" workbookViewId="0">
      <selection activeCell="D19" sqref="D19"/>
    </sheetView>
  </sheetViews>
  <sheetFormatPr defaultRowHeight="14.4" x14ac:dyDescent="0.3"/>
  <cols>
    <col min="2" max="2" width="42.5546875" customWidth="1"/>
    <col min="3" max="3" width="13.88671875" customWidth="1"/>
    <col min="4" max="9" width="17.5546875" customWidth="1"/>
  </cols>
  <sheetData>
    <row r="1" spans="2:9" ht="17.399999999999999" x14ac:dyDescent="0.35">
      <c r="B1" s="25" t="s">
        <v>17</v>
      </c>
      <c r="C1" s="21"/>
      <c r="D1" s="21"/>
      <c r="E1" s="21"/>
      <c r="F1" s="21"/>
      <c r="G1" s="21"/>
      <c r="H1" s="21"/>
      <c r="I1" s="21"/>
    </row>
    <row r="2" spans="2:9" ht="15" thickBot="1" x14ac:dyDescent="0.35">
      <c r="B2" s="28"/>
      <c r="C2" s="29" t="s">
        <v>0</v>
      </c>
      <c r="D2" s="30">
        <v>2026</v>
      </c>
      <c r="E2" s="30">
        <f>D2+1</f>
        <v>2027</v>
      </c>
      <c r="F2" s="30">
        <f>E2+1</f>
        <v>2028</v>
      </c>
      <c r="G2" s="30">
        <f>F2+1</f>
        <v>2029</v>
      </c>
      <c r="H2" s="30">
        <f>G2+1</f>
        <v>2030</v>
      </c>
      <c r="I2" s="30">
        <f>H2+1</f>
        <v>2031</v>
      </c>
    </row>
    <row r="3" spans="2:9" x14ac:dyDescent="0.3">
      <c r="B3" s="21" t="s">
        <v>14</v>
      </c>
      <c r="C3" s="21" t="s">
        <v>9</v>
      </c>
      <c r="D3" s="24">
        <f>CAPEX!D3</f>
        <v>11990000</v>
      </c>
      <c r="E3" s="21"/>
      <c r="F3" s="21"/>
      <c r="G3" s="21"/>
      <c r="H3" s="21"/>
      <c r="I3" s="21"/>
    </row>
    <row r="4" spans="2:9" x14ac:dyDescent="0.3">
      <c r="B4" s="21" t="s">
        <v>18</v>
      </c>
      <c r="C4" s="21" t="s">
        <v>4</v>
      </c>
      <c r="D4" s="7">
        <v>0.7</v>
      </c>
      <c r="E4" s="21"/>
      <c r="F4" s="21"/>
      <c r="G4" s="21"/>
      <c r="H4" s="21"/>
      <c r="I4" s="21"/>
    </row>
    <row r="5" spans="2:9" x14ac:dyDescent="0.3">
      <c r="B5" s="21" t="s">
        <v>19</v>
      </c>
      <c r="C5" s="21" t="s">
        <v>9</v>
      </c>
      <c r="D5" s="14">
        <f>D3*D4</f>
        <v>8393000</v>
      </c>
      <c r="E5" s="21"/>
      <c r="F5" s="21"/>
      <c r="G5" s="21"/>
      <c r="H5" s="21"/>
      <c r="I5" s="21"/>
    </row>
    <row r="6" spans="2:9" x14ac:dyDescent="0.3">
      <c r="B6" s="21" t="s">
        <v>20</v>
      </c>
      <c r="C6" s="21" t="s">
        <v>21</v>
      </c>
      <c r="D6" s="19">
        <v>1</v>
      </c>
      <c r="E6" s="21"/>
      <c r="F6" s="21"/>
      <c r="G6" s="21"/>
      <c r="H6" s="21"/>
      <c r="I6" s="21"/>
    </row>
    <row r="7" spans="2:9" x14ac:dyDescent="0.3">
      <c r="B7" s="21" t="s">
        <v>22</v>
      </c>
      <c r="C7" s="21" t="s">
        <v>21</v>
      </c>
      <c r="D7" s="19">
        <v>4</v>
      </c>
      <c r="E7" s="21"/>
      <c r="F7" s="21"/>
      <c r="G7" s="21"/>
      <c r="H7" s="21"/>
      <c r="I7" s="21"/>
    </row>
    <row r="8" spans="2:9" x14ac:dyDescent="0.3">
      <c r="B8" s="21" t="s">
        <v>23</v>
      </c>
      <c r="C8" s="21" t="s">
        <v>24</v>
      </c>
      <c r="D8" s="11">
        <f>D9+D10</f>
        <v>0.19</v>
      </c>
      <c r="E8" s="21"/>
      <c r="F8" s="21"/>
      <c r="G8" s="21"/>
      <c r="H8" s="21"/>
      <c r="I8" s="21"/>
    </row>
    <row r="9" spans="2:9" x14ac:dyDescent="0.3">
      <c r="B9" s="21" t="s">
        <v>25</v>
      </c>
      <c r="C9" s="21" t="s">
        <v>4</v>
      </c>
      <c r="D9" s="7">
        <v>0.14000000000000001</v>
      </c>
      <c r="E9" s="21"/>
      <c r="F9" s="21"/>
      <c r="G9" s="21"/>
      <c r="H9" s="21"/>
      <c r="I9" s="21"/>
    </row>
    <row r="10" spans="2:9" x14ac:dyDescent="0.3">
      <c r="B10" s="21" t="s">
        <v>26</v>
      </c>
      <c r="C10" s="21" t="s">
        <v>4</v>
      </c>
      <c r="D10" s="7">
        <v>0.05</v>
      </c>
      <c r="E10" s="21"/>
      <c r="F10" s="21"/>
      <c r="G10" s="21"/>
      <c r="H10" s="21"/>
      <c r="I10" s="21"/>
    </row>
    <row r="11" spans="2:9" x14ac:dyDescent="0.3">
      <c r="B11" s="27" t="s">
        <v>27</v>
      </c>
      <c r="C11" s="21"/>
      <c r="D11" s="21"/>
      <c r="E11" s="21"/>
      <c r="F11" s="21"/>
      <c r="G11" s="21"/>
      <c r="H11" s="21"/>
      <c r="I11" s="21"/>
    </row>
    <row r="12" spans="2:9" x14ac:dyDescent="0.3">
      <c r="B12" s="21"/>
      <c r="C12" s="22" t="s">
        <v>0</v>
      </c>
      <c r="D12" s="17">
        <f>D2</f>
        <v>2026</v>
      </c>
      <c r="E12" s="17">
        <f>E2</f>
        <v>2027</v>
      </c>
      <c r="F12" s="17">
        <f>F2</f>
        <v>2028</v>
      </c>
      <c r="G12" s="17">
        <f>G2</f>
        <v>2029</v>
      </c>
      <c r="H12" s="17">
        <f>H2</f>
        <v>2030</v>
      </c>
      <c r="I12" s="17">
        <f>I2</f>
        <v>2031</v>
      </c>
    </row>
    <row r="13" spans="2:9" x14ac:dyDescent="0.3">
      <c r="B13" s="21" t="s">
        <v>28</v>
      </c>
      <c r="C13" s="21" t="s">
        <v>9</v>
      </c>
      <c r="D13" s="14">
        <v>0</v>
      </c>
      <c r="E13" s="14">
        <f>D16</f>
        <v>8393000</v>
      </c>
      <c r="F13" s="14">
        <f t="shared" ref="F13:I13" si="0">E16</f>
        <v>8393000</v>
      </c>
      <c r="G13" s="14">
        <f t="shared" si="0"/>
        <v>6294750</v>
      </c>
      <c r="H13" s="14">
        <f t="shared" si="0"/>
        <v>4196500</v>
      </c>
      <c r="I13" s="14">
        <f t="shared" si="0"/>
        <v>2098250</v>
      </c>
    </row>
    <row r="14" spans="2:9" x14ac:dyDescent="0.3">
      <c r="B14" s="21" t="s">
        <v>29</v>
      </c>
      <c r="C14" s="21" t="s">
        <v>9</v>
      </c>
      <c r="D14" s="14">
        <f>D5</f>
        <v>8393000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</row>
    <row r="15" spans="2:9" x14ac:dyDescent="0.3">
      <c r="B15" s="21" t="s">
        <v>30</v>
      </c>
      <c r="C15" s="21" t="s">
        <v>9</v>
      </c>
      <c r="D15" s="14">
        <v>0</v>
      </c>
      <c r="E15" s="14">
        <v>0</v>
      </c>
      <c r="F15" s="14">
        <f>$D$5/$D$7</f>
        <v>2098250</v>
      </c>
      <c r="G15" s="14">
        <f t="shared" ref="G15:I15" si="1">$D$5/$D$7</f>
        <v>2098250</v>
      </c>
      <c r="H15" s="14">
        <f t="shared" si="1"/>
        <v>2098250</v>
      </c>
      <c r="I15" s="14">
        <f t="shared" si="1"/>
        <v>2098250</v>
      </c>
    </row>
    <row r="16" spans="2:9" x14ac:dyDescent="0.3">
      <c r="B16" s="21" t="s">
        <v>31</v>
      </c>
      <c r="C16" s="21" t="s">
        <v>9</v>
      </c>
      <c r="D16" s="15">
        <f>D13+D14-D15</f>
        <v>8393000</v>
      </c>
      <c r="E16" s="15">
        <f>E13+E14-E15</f>
        <v>8393000</v>
      </c>
      <c r="F16" s="15">
        <f t="shared" ref="F16:I16" si="2">F13+F14-F15</f>
        <v>6294750</v>
      </c>
      <c r="G16" s="15">
        <f t="shared" si="2"/>
        <v>4196500</v>
      </c>
      <c r="H16" s="15">
        <f t="shared" si="2"/>
        <v>2098250</v>
      </c>
      <c r="I16" s="15">
        <f t="shared" si="2"/>
        <v>0</v>
      </c>
    </row>
    <row r="17" spans="2:9" x14ac:dyDescent="0.3">
      <c r="B17" s="21"/>
      <c r="C17" s="21"/>
      <c r="D17" s="21"/>
      <c r="E17" s="21"/>
      <c r="F17" s="21"/>
      <c r="G17" s="21"/>
      <c r="H17" s="21"/>
      <c r="I17" s="21"/>
    </row>
    <row r="18" spans="2:9" x14ac:dyDescent="0.3">
      <c r="B18" s="21" t="s">
        <v>32</v>
      </c>
      <c r="C18" s="21" t="s">
        <v>9</v>
      </c>
      <c r="D18" s="14">
        <v>0</v>
      </c>
      <c r="E18" s="14">
        <f>$D$8*E13</f>
        <v>1594670</v>
      </c>
      <c r="F18" s="14">
        <f t="shared" ref="F18:I18" si="3">$D$8*F13</f>
        <v>1594670</v>
      </c>
      <c r="G18" s="14">
        <f t="shared" si="3"/>
        <v>1196002.5</v>
      </c>
      <c r="H18" s="14">
        <f t="shared" si="3"/>
        <v>797335</v>
      </c>
      <c r="I18" s="14">
        <f t="shared" si="3"/>
        <v>398667.5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D7C44-CC3A-4FD7-81C1-83ABCEDF21ED}">
  <dimension ref="B1:J35"/>
  <sheetViews>
    <sheetView topLeftCell="C18" zoomScale="88" workbookViewId="0">
      <selection activeCell="L31" sqref="L31"/>
    </sheetView>
  </sheetViews>
  <sheetFormatPr defaultRowHeight="14.4" x14ac:dyDescent="0.3"/>
  <cols>
    <col min="2" max="2" width="27.77734375" customWidth="1"/>
    <col min="3" max="3" width="6.44140625" customWidth="1"/>
    <col min="4" max="10" width="14.77734375" customWidth="1"/>
  </cols>
  <sheetData>
    <row r="1" spans="2:10" ht="17.399999999999999" x14ac:dyDescent="0.35">
      <c r="B1" s="1" t="s">
        <v>98</v>
      </c>
    </row>
    <row r="2" spans="2:10" x14ac:dyDescent="0.3">
      <c r="B2" s="3" t="s">
        <v>99</v>
      </c>
    </row>
    <row r="3" spans="2:10" x14ac:dyDescent="0.3">
      <c r="B3" s="5" t="s">
        <v>7</v>
      </c>
      <c r="C3" s="5" t="s">
        <v>6</v>
      </c>
    </row>
    <row r="4" spans="2:10" x14ac:dyDescent="0.3">
      <c r="B4" t="s">
        <v>100</v>
      </c>
      <c r="C4" t="s">
        <v>6</v>
      </c>
      <c r="D4" s="8">
        <v>100</v>
      </c>
    </row>
    <row r="5" spans="2:10" x14ac:dyDescent="0.3">
      <c r="B5" t="s">
        <v>101</v>
      </c>
      <c r="C5" t="s">
        <v>6</v>
      </c>
      <c r="D5" s="8">
        <v>200</v>
      </c>
    </row>
    <row r="6" spans="2:10" x14ac:dyDescent="0.3">
      <c r="B6" t="s">
        <v>102</v>
      </c>
      <c r="C6" t="s">
        <v>6</v>
      </c>
      <c r="D6" s="8">
        <v>300</v>
      </c>
    </row>
    <row r="8" spans="2:10" x14ac:dyDescent="0.3">
      <c r="B8" s="5" t="s">
        <v>103</v>
      </c>
    </row>
    <row r="9" spans="2:10" x14ac:dyDescent="0.3">
      <c r="D9" s="17">
        <f>Página1!D2</f>
        <v>2026</v>
      </c>
      <c r="E9" s="17">
        <f>Página1!E2</f>
        <v>2027</v>
      </c>
      <c r="F9" s="17">
        <f>Página1!F2</f>
        <v>2028</v>
      </c>
      <c r="G9" s="17">
        <f>Página1!G2</f>
        <v>2029</v>
      </c>
      <c r="H9" s="17">
        <f>Página1!H2</f>
        <v>2030</v>
      </c>
      <c r="I9" s="17">
        <f>Página1!I2</f>
        <v>2031</v>
      </c>
      <c r="J9" s="16" t="s">
        <v>104</v>
      </c>
    </row>
    <row r="10" spans="2:10" x14ac:dyDescent="0.3">
      <c r="B10" t="str">
        <f>"Otimista ("&amp;$D$4&amp;" km)"</f>
        <v>Otimista (100 km)</v>
      </c>
      <c r="D10" s="14">
        <f>Página1!D14*$D$4*Página1!D31</f>
        <v>5400000</v>
      </c>
      <c r="E10" s="14">
        <f>Página1!E14*$D$4*Página1!E31</f>
        <v>5643000</v>
      </c>
      <c r="F10" s="14">
        <f>Página1!F14*$D$4*Página1!F31</f>
        <v>5896935</v>
      </c>
      <c r="G10" s="14">
        <f>Página1!G14*$D$4*Página1!G31</f>
        <v>6162297.0749999993</v>
      </c>
      <c r="H10" s="14">
        <f>Página1!H14*$D$4*Página1!H31</f>
        <v>6439600.4433749989</v>
      </c>
      <c r="I10" s="14">
        <f>Página1!I14*$D$4*Página1!I31</f>
        <v>6729382.4633268742</v>
      </c>
      <c r="J10" s="15">
        <f>SUM(D10:I10)</f>
        <v>36271214.981701873</v>
      </c>
    </row>
    <row r="11" spans="2:10" x14ac:dyDescent="0.3">
      <c r="B11" t="str">
        <f>"Razoável ("&amp;$D$5&amp;" km)"</f>
        <v>Razoável (200 km)</v>
      </c>
      <c r="D11" s="14">
        <f>Página1!D14*$D$5*Página1!D31</f>
        <v>10800000</v>
      </c>
      <c r="E11" s="14">
        <f>Página1!E14*$D$5*Página1!E31</f>
        <v>11286000</v>
      </c>
      <c r="F11" s="14">
        <f>Página1!F14*$D$5*Página1!F31</f>
        <v>11793870</v>
      </c>
      <c r="G11" s="14">
        <f>Página1!G14*$D$5*Página1!G31</f>
        <v>12324594.149999999</v>
      </c>
      <c r="H11" s="14">
        <f>Página1!H14*$D$5*Página1!H31</f>
        <v>12879200.886749998</v>
      </c>
      <c r="I11" s="14">
        <f>Página1!I14*$D$5*Página1!I31</f>
        <v>13458764.926653748</v>
      </c>
      <c r="J11" s="15">
        <f>SUM(D11:I11)</f>
        <v>72542429.963403746</v>
      </c>
    </row>
    <row r="12" spans="2:10" x14ac:dyDescent="0.3">
      <c r="B12" t="str">
        <f>"Pessimista ("&amp;$D$6&amp;" km)"</f>
        <v>Pessimista (300 km)</v>
      </c>
      <c r="D12" s="14">
        <f>Página1!D14*$D$6*Página1!D31</f>
        <v>16200000</v>
      </c>
      <c r="E12" s="14">
        <f>Página1!E14*$D$6*Página1!E31</f>
        <v>16929000</v>
      </c>
      <c r="F12" s="14">
        <f>Página1!F14*$D$6*Página1!F31</f>
        <v>17690805</v>
      </c>
      <c r="G12" s="14">
        <f>Página1!G14*$D$6*Página1!G31</f>
        <v>18486891.224999998</v>
      </c>
      <c r="H12" s="14">
        <f>Página1!H14*$D$6*Página1!H31</f>
        <v>19318801.330124997</v>
      </c>
      <c r="I12" s="14">
        <f>Página1!I14*$D$6*Página1!I31</f>
        <v>20188147.389980622</v>
      </c>
      <c r="J12" s="15">
        <f>SUM(D12:I12)</f>
        <v>108813644.94510561</v>
      </c>
    </row>
    <row r="14" spans="2:10" x14ac:dyDescent="0.3">
      <c r="B14" s="5" t="s">
        <v>105</v>
      </c>
    </row>
    <row r="15" spans="2:10" x14ac:dyDescent="0.3">
      <c r="D15" s="17">
        <f>D9</f>
        <v>2026</v>
      </c>
      <c r="E15" s="17">
        <f>E9</f>
        <v>2027</v>
      </c>
      <c r="F15" s="17">
        <f>F9</f>
        <v>2028</v>
      </c>
      <c r="G15" s="17">
        <f>G9</f>
        <v>2029</v>
      </c>
      <c r="H15" s="17">
        <f>H9</f>
        <v>2030</v>
      </c>
      <c r="I15" s="17">
        <f>I9</f>
        <v>2031</v>
      </c>
      <c r="J15" s="16" t="s">
        <v>104</v>
      </c>
    </row>
    <row r="16" spans="2:10" x14ac:dyDescent="0.3">
      <c r="B16" t="str">
        <f>B10</f>
        <v>Otimista (100 km)</v>
      </c>
      <c r="D16" s="38">
        <f>Página1!D$49+Página1!D$29-D10</f>
        <v>1178293.75</v>
      </c>
      <c r="E16" s="38">
        <f>Página1!E$49+Página1!E$29-E10</f>
        <v>1252898.9687500075</v>
      </c>
      <c r="F16" s="38">
        <f>Página1!F$49+Página1!F$29-F10</f>
        <v>1330861.4223437589</v>
      </c>
      <c r="G16" s="38">
        <f>Página1!G$49+Página1!G$29-G10</f>
        <v>1412332.1863492206</v>
      </c>
      <c r="H16" s="38">
        <f>Página1!H$49+Página1!H$29-H10</f>
        <v>1497469.1347349454</v>
      </c>
      <c r="I16" s="38">
        <f>Página1!I$49+Página1!I$29-I10</f>
        <v>1586437.2457980132</v>
      </c>
      <c r="J16" s="39">
        <f>SUM(D16:I16)</f>
        <v>8258292.7079759454</v>
      </c>
    </row>
    <row r="17" spans="2:10" x14ac:dyDescent="0.3">
      <c r="B17" t="str">
        <f>B11</f>
        <v>Razoável (200 km)</v>
      </c>
      <c r="D17" s="38">
        <f>Página1!D$49+Página1!D$29-D11</f>
        <v>-4221706.25</v>
      </c>
      <c r="E17" s="38">
        <f>Página1!E$49+Página1!E$29-E11</f>
        <v>-4390101.0312499925</v>
      </c>
      <c r="F17" s="38">
        <f>Página1!F$49+Página1!F$29-F11</f>
        <v>-4566073.5776562411</v>
      </c>
      <c r="G17" s="38">
        <f>Página1!G$49+Página1!G$29-G11</f>
        <v>-4749964.8886507787</v>
      </c>
      <c r="H17" s="38">
        <f>Página1!H$49+Página1!H$29-H11</f>
        <v>-4942131.3086400535</v>
      </c>
      <c r="I17" s="38">
        <f>Página1!I$49+Página1!I$29-I11</f>
        <v>-5142945.217528861</v>
      </c>
      <c r="J17" s="39">
        <f>SUM(D17:I17)</f>
        <v>-28012922.273725931</v>
      </c>
    </row>
    <row r="18" spans="2:10" x14ac:dyDescent="0.3">
      <c r="B18" t="str">
        <f>B12</f>
        <v>Pessimista (300 km)</v>
      </c>
      <c r="D18" s="38">
        <f>Página1!D$49+Página1!D$29-D12</f>
        <v>-9621706.25</v>
      </c>
      <c r="E18" s="38">
        <f>Página1!E$49+Página1!E$29-E12</f>
        <v>-10033101.031249993</v>
      </c>
      <c r="F18" s="38">
        <f>Página1!F$49+Página1!F$29-F12</f>
        <v>-10463008.577656241</v>
      </c>
      <c r="G18" s="38">
        <f>Página1!G$49+Página1!G$29-G12</f>
        <v>-10912261.963650778</v>
      </c>
      <c r="H18" s="38">
        <f>Página1!H$49+Página1!H$29-H12</f>
        <v>-11381731.752015052</v>
      </c>
      <c r="I18" s="38">
        <f>Página1!I$49+Página1!I$29-I12</f>
        <v>-11872327.680855734</v>
      </c>
      <c r="J18" s="39">
        <f>SUM(D18:I18)</f>
        <v>-64284137.2554278</v>
      </c>
    </row>
    <row r="20" spans="2:10" x14ac:dyDescent="0.3">
      <c r="B20" s="5" t="s">
        <v>106</v>
      </c>
    </row>
    <row r="21" spans="2:10" x14ac:dyDescent="0.3">
      <c r="D21" s="17">
        <f>D9</f>
        <v>2026</v>
      </c>
      <c r="E21" s="17">
        <f>E9</f>
        <v>2027</v>
      </c>
      <c r="F21" s="17">
        <f>F9</f>
        <v>2028</v>
      </c>
      <c r="G21" s="17">
        <f>G9</f>
        <v>2029</v>
      </c>
      <c r="H21" s="17">
        <f>H9</f>
        <v>2030</v>
      </c>
      <c r="I21" s="17">
        <f>I9</f>
        <v>2031</v>
      </c>
      <c r="J21" s="16" t="s">
        <v>104</v>
      </c>
    </row>
    <row r="22" spans="2:10" x14ac:dyDescent="0.3">
      <c r="B22" t="str">
        <f>B10</f>
        <v>Otimista (100 km)</v>
      </c>
      <c r="D22" s="38">
        <f>D16-Página1!D$51-Página1!D$55+Página1!D$54</f>
        <v>1178293.75</v>
      </c>
      <c r="E22" s="38">
        <f>E16-Página1!E$51-Página1!E$55+Página1!E$54</f>
        <v>-1540771.0312499925</v>
      </c>
      <c r="F22" s="38">
        <f>F16-Página1!F$51-Página1!F$55+Página1!F$54</f>
        <v>-1462808.5776562411</v>
      </c>
      <c r="G22" s="38">
        <f>G16-Página1!G$51-Página1!G$55+Página1!G$54</f>
        <v>-982670.31365077943</v>
      </c>
      <c r="H22" s="38">
        <f>H16-Página1!H$51-Página1!H$55+Página1!H$54</f>
        <v>-498865.86526505463</v>
      </c>
      <c r="I22" s="38">
        <f>I16-Página1!I$51-Página1!I$55+Página1!I$54</f>
        <v>-11230.254201986827</v>
      </c>
      <c r="J22" s="39">
        <f>SUM(D22:I22)</f>
        <v>-3318052.2920240546</v>
      </c>
    </row>
    <row r="23" spans="2:10" x14ac:dyDescent="0.3">
      <c r="B23" t="str">
        <f>B11</f>
        <v>Razoável (200 km)</v>
      </c>
      <c r="D23" s="38">
        <f>D17-Página1!D$51-Página1!D$55+Página1!D$54</f>
        <v>-4221706.25</v>
      </c>
      <c r="E23" s="38">
        <f>E17-Página1!E$51-Página1!E$55+Página1!E$54</f>
        <v>-7183771.0312499925</v>
      </c>
      <c r="F23" s="38">
        <f>F17-Página1!F$51-Página1!F$55+Página1!F$54</f>
        <v>-7359743.5776562411</v>
      </c>
      <c r="G23" s="38">
        <f>G17-Página1!G$51-Página1!G$55+Página1!G$54</f>
        <v>-7144967.3886507787</v>
      </c>
      <c r="H23" s="38">
        <f>H17-Página1!H$51-Página1!H$55+Página1!H$54</f>
        <v>-6938466.3086400535</v>
      </c>
      <c r="I23" s="38">
        <f>I17-Página1!I$51-Página1!I$55+Página1!I$54</f>
        <v>-6740612.717528861</v>
      </c>
      <c r="J23" s="39">
        <f>SUM(D23:I23)</f>
        <v>-39589267.273725927</v>
      </c>
    </row>
    <row r="24" spans="2:10" x14ac:dyDescent="0.3">
      <c r="B24" t="str">
        <f>B12</f>
        <v>Pessimista (300 km)</v>
      </c>
      <c r="D24" s="38">
        <f>D18-Página1!D$51-Página1!D$55+Página1!D$54</f>
        <v>-9621706.25</v>
      </c>
      <c r="E24" s="38">
        <f>E18-Página1!E$51-Página1!E$55+Página1!E$54</f>
        <v>-12826771.031249993</v>
      </c>
      <c r="F24" s="38">
        <f>F18-Página1!F$51-Página1!F$55+Página1!F$54</f>
        <v>-13256678.577656241</v>
      </c>
      <c r="G24" s="38">
        <f>G18-Página1!G$51-Página1!G$55+Página1!G$54</f>
        <v>-13307264.463650778</v>
      </c>
      <c r="H24" s="38">
        <f>H18-Página1!H$51-Página1!H$55+Página1!H$54</f>
        <v>-13378066.752015052</v>
      </c>
      <c r="I24" s="38">
        <f>I18-Página1!I$51-Página1!I$55+Página1!I$54</f>
        <v>-13469995.180855734</v>
      </c>
      <c r="J24" s="39">
        <f>SUM(D24:I24)</f>
        <v>-75860482.255427793</v>
      </c>
    </row>
    <row r="26" spans="2:10" x14ac:dyDescent="0.3">
      <c r="B26" s="5" t="s">
        <v>107</v>
      </c>
    </row>
    <row r="27" spans="2:10" x14ac:dyDescent="0.3">
      <c r="D27" s="17">
        <f>D9</f>
        <v>2026</v>
      </c>
      <c r="E27" s="17">
        <f>E9</f>
        <v>2027</v>
      </c>
      <c r="F27" s="17">
        <f>F9</f>
        <v>2028</v>
      </c>
      <c r="G27" s="17">
        <f>G9</f>
        <v>2029</v>
      </c>
      <c r="H27" s="17">
        <f>H9</f>
        <v>2030</v>
      </c>
      <c r="I27" s="17">
        <f>I9</f>
        <v>2031</v>
      </c>
      <c r="J27" s="16" t="s">
        <v>104</v>
      </c>
    </row>
    <row r="28" spans="2:10" x14ac:dyDescent="0.3">
      <c r="B28" t="str">
        <f>B10</f>
        <v>Otimista (100 km)</v>
      </c>
      <c r="D28" s="38">
        <f>IF(D22&gt;0,D22*(1-Página1!$D$58),D22)</f>
        <v>777673.87499999988</v>
      </c>
      <c r="E28" s="38">
        <f>IF(E22&gt;0,E22*(1-Página1!$D$58),E22)</f>
        <v>-1540771.0312499925</v>
      </c>
      <c r="F28" s="38">
        <f>IF(F22&gt;0,F22*(1-Página1!$D$58),F22)</f>
        <v>-1462808.5776562411</v>
      </c>
      <c r="G28" s="38">
        <f>IF(G22&gt;0,G22*(1-Página1!$D$58),G22)</f>
        <v>-982670.31365077943</v>
      </c>
      <c r="H28" s="38">
        <f>IF(H22&gt;0,H22*(1-Página1!$D$58),H22)</f>
        <v>-498865.86526505463</v>
      </c>
      <c r="I28" s="38">
        <f>IF(I22&gt;0,I22*(1-Página1!$D$58),I22)</f>
        <v>-11230.254201986827</v>
      </c>
      <c r="J28" s="39">
        <f>SUM(D28:I28)</f>
        <v>-3718672.1670240546</v>
      </c>
    </row>
    <row r="29" spans="2:10" x14ac:dyDescent="0.3">
      <c r="B29" t="str">
        <f>B11</f>
        <v>Razoável (200 km)</v>
      </c>
      <c r="D29" s="38">
        <f>IF(D23&gt;0,D23*(1-Página1!$D$58),D23)</f>
        <v>-4221706.25</v>
      </c>
      <c r="E29" s="38">
        <f>IF(E23&gt;0,E23*(1-Página1!$D$58),E23)</f>
        <v>-7183771.0312499925</v>
      </c>
      <c r="F29" s="38">
        <f>IF(F23&gt;0,F23*(1-Página1!$D$58),F23)</f>
        <v>-7359743.5776562411</v>
      </c>
      <c r="G29" s="38">
        <f>IF(G23&gt;0,G23*(1-Página1!$D$58),G23)</f>
        <v>-7144967.3886507787</v>
      </c>
      <c r="H29" s="38">
        <f>IF(H23&gt;0,H23*(1-Página1!$D$58),H23)</f>
        <v>-6938466.3086400535</v>
      </c>
      <c r="I29" s="38">
        <f>IF(I23&gt;0,I23*(1-Página1!$D$58),I23)</f>
        <v>-6740612.717528861</v>
      </c>
      <c r="J29" s="39">
        <f>SUM(D29:I29)</f>
        <v>-39589267.273725927</v>
      </c>
    </row>
    <row r="30" spans="2:10" x14ac:dyDescent="0.3">
      <c r="B30" t="str">
        <f>B12</f>
        <v>Pessimista (300 km)</v>
      </c>
      <c r="D30" s="38">
        <f>IF(D24&gt;0,D24*(1-Página1!$D$58),D24)</f>
        <v>-9621706.25</v>
      </c>
      <c r="E30" s="38">
        <f>IF(E24&gt;0,E24*(1-Página1!$D$58),E24)</f>
        <v>-12826771.031249993</v>
      </c>
      <c r="F30" s="38">
        <f>IF(F24&gt;0,F24*(1-Página1!$D$58),F24)</f>
        <v>-13256678.577656241</v>
      </c>
      <c r="G30" s="38">
        <f>IF(G24&gt;0,G24*(1-Página1!$D$58),G24)</f>
        <v>-13307264.463650778</v>
      </c>
      <c r="H30" s="38">
        <f>IF(H24&gt;0,H24*(1-Página1!$D$58),H24)</f>
        <v>-13378066.752015052</v>
      </c>
      <c r="I30" s="38">
        <f>IF(I24&gt;0,I24*(1-Página1!$D$58),I24)</f>
        <v>-13469995.180855734</v>
      </c>
      <c r="J30" s="39">
        <f>SUM(D30:I30)</f>
        <v>-75860482.255427793</v>
      </c>
    </row>
    <row r="32" spans="2:10" x14ac:dyDescent="0.3">
      <c r="B32" s="4" t="s">
        <v>108</v>
      </c>
    </row>
    <row r="33" spans="2:2" x14ac:dyDescent="0.3">
      <c r="B33" s="2" t="s">
        <v>109</v>
      </c>
    </row>
    <row r="34" spans="2:2" x14ac:dyDescent="0.3">
      <c r="B34" s="2" t="s">
        <v>110</v>
      </c>
    </row>
    <row r="35" spans="2:2" x14ac:dyDescent="0.3">
      <c r="B35" s="2" t="s">
        <v>111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4932E-5338-454F-BD89-0C3FECD66815}">
  <dimension ref="B1:I27"/>
  <sheetViews>
    <sheetView zoomScale="76" workbookViewId="0">
      <selection activeCell="I2" sqref="I2"/>
    </sheetView>
  </sheetViews>
  <sheetFormatPr defaultRowHeight="14.4" x14ac:dyDescent="0.3"/>
  <cols>
    <col min="2" max="2" width="37" customWidth="1"/>
    <col min="3" max="3" width="10.21875" customWidth="1"/>
    <col min="4" max="9" width="16.33203125" customWidth="1"/>
  </cols>
  <sheetData>
    <row r="1" spans="2:9" ht="17.399999999999999" x14ac:dyDescent="0.35">
      <c r="B1" s="1" t="s">
        <v>122</v>
      </c>
    </row>
    <row r="2" spans="2:9" x14ac:dyDescent="0.3">
      <c r="B2" s="45" t="s">
        <v>142</v>
      </c>
      <c r="C2" s="46" t="s">
        <v>143</v>
      </c>
      <c r="D2" s="47" t="s">
        <v>101</v>
      </c>
      <c r="E2" s="46" t="s">
        <v>144</v>
      </c>
      <c r="F2" s="48">
        <f>INDEX(Cenários!$D$4:$D$6,MATCH($D$2,Cenários!$B$4:$B$6,0))</f>
        <v>200</v>
      </c>
      <c r="G2" s="49" t="s">
        <v>6</v>
      </c>
      <c r="H2" s="46" t="s">
        <v>145</v>
      </c>
      <c r="I2" s="50" t="s">
        <v>146</v>
      </c>
    </row>
    <row r="3" spans="2:9" x14ac:dyDescent="0.3">
      <c r="C3" s="4" t="s">
        <v>0</v>
      </c>
      <c r="D3" s="17">
        <f>Página1!D2</f>
        <v>2026</v>
      </c>
      <c r="E3" s="17">
        <f>Página1!E2</f>
        <v>2027</v>
      </c>
      <c r="F3" s="17">
        <f>Página1!F2</f>
        <v>2028</v>
      </c>
      <c r="G3" s="17">
        <f>Página1!G2</f>
        <v>2029</v>
      </c>
      <c r="H3" s="17">
        <f>Página1!H2</f>
        <v>2030</v>
      </c>
      <c r="I3" s="17">
        <f>Página1!I2</f>
        <v>2031</v>
      </c>
    </row>
    <row r="4" spans="2:9" x14ac:dyDescent="0.3">
      <c r="B4" s="5" t="s">
        <v>123</v>
      </c>
    </row>
    <row r="5" spans="2:9" x14ac:dyDescent="0.3">
      <c r="B5" t="s">
        <v>37</v>
      </c>
      <c r="C5" t="s">
        <v>9</v>
      </c>
      <c r="D5" s="24">
        <f>Página1!D22-Página1!D29+INDEX(Cenários!D$10:D$12,MATCH($D$2,Cenários!$B$4:$B$6,0))</f>
        <v>44288906.25</v>
      </c>
      <c r="E5" s="24">
        <f>Página1!E22-Página1!E29+INDEX(Cenários!E$10:E$12,MATCH($D$2,Cenários!$B$4:$B$6,0))</f>
        <v>46281907.031249993</v>
      </c>
      <c r="F5" s="24">
        <f>Página1!F22-Página1!F29+INDEX(Cenários!F$10:F$12,MATCH($D$2,Cenários!$B$4:$B$6,0))</f>
        <v>48364592.847656235</v>
      </c>
      <c r="G5" s="24">
        <f>Página1!G22-Página1!G29+INDEX(Cenários!G$10:G$12,MATCH($D$2,Cenários!$B$4:$B$6,0))</f>
        <v>50540999.525800765</v>
      </c>
      <c r="H5" s="24">
        <f>Página1!H22-Página1!H29+INDEX(Cenários!H$10:H$12,MATCH($D$2,Cenários!$B$4:$B$6,0))</f>
        <v>52815344.504461795</v>
      </c>
      <c r="I5" s="24">
        <f>Página1!I22-Página1!I29+INDEX(Cenários!I$10:I$12,MATCH($D$2,Cenários!$B$4:$B$6,0))</f>
        <v>55192035.007162578</v>
      </c>
    </row>
    <row r="6" spans="2:9" x14ac:dyDescent="0.3">
      <c r="B6" t="s">
        <v>39</v>
      </c>
      <c r="C6" t="s">
        <v>9</v>
      </c>
      <c r="D6" s="24">
        <f>Página1!D33</f>
        <v>2207600</v>
      </c>
      <c r="E6" s="24">
        <f>Página1!E33</f>
        <v>2285360</v>
      </c>
      <c r="F6" s="24">
        <f>Página1!F33</f>
        <v>2366619.1999999997</v>
      </c>
      <c r="G6" s="24">
        <f>Página1!G33</f>
        <v>2451535.0639999993</v>
      </c>
      <c r="H6" s="24">
        <f>Página1!H33</f>
        <v>2540272.1418799991</v>
      </c>
      <c r="I6" s="24">
        <f>Página1!I33</f>
        <v>2633002.3882645993</v>
      </c>
    </row>
    <row r="7" spans="2:9" x14ac:dyDescent="0.3">
      <c r="B7" t="s">
        <v>124</v>
      </c>
      <c r="C7" t="s">
        <v>9</v>
      </c>
      <c r="D7" s="24">
        <f>Página1!D46</f>
        <v>360000</v>
      </c>
      <c r="E7" s="24">
        <f>Página1!E46</f>
        <v>376199.99999999994</v>
      </c>
      <c r="F7" s="24">
        <f>Página1!F46</f>
        <v>393128.99999999988</v>
      </c>
      <c r="G7" s="24">
        <f>Página1!G46</f>
        <v>410819.80499999993</v>
      </c>
      <c r="H7" s="24">
        <f>Página1!H46</f>
        <v>429306.69622499985</v>
      </c>
      <c r="I7" s="24">
        <f>Página1!I46</f>
        <v>448625.49755512481</v>
      </c>
    </row>
    <row r="8" spans="2:9" x14ac:dyDescent="0.3">
      <c r="B8" s="4" t="s">
        <v>125</v>
      </c>
      <c r="C8" t="s">
        <v>9</v>
      </c>
      <c r="D8" s="15">
        <f>D5+D6+D7</f>
        <v>46856506.25</v>
      </c>
      <c r="E8" s="15">
        <f t="shared" ref="E8:I8" si="0">E5+E6+E7</f>
        <v>48943467.031249993</v>
      </c>
      <c r="F8" s="15">
        <f t="shared" si="0"/>
        <v>51124341.047656238</v>
      </c>
      <c r="G8" s="15">
        <f t="shared" si="0"/>
        <v>53403354.39480076</v>
      </c>
      <c r="H8" s="15">
        <f t="shared" si="0"/>
        <v>55784923.342566796</v>
      </c>
      <c r="I8" s="15">
        <f t="shared" si="0"/>
        <v>58273662.892982297</v>
      </c>
    </row>
    <row r="9" spans="2:9" x14ac:dyDescent="0.3">
      <c r="B9" t="s">
        <v>126</v>
      </c>
      <c r="C9" t="s">
        <v>1</v>
      </c>
      <c r="D9" s="14">
        <f>D8/Página1!D14</f>
        <v>390.47088541666665</v>
      </c>
      <c r="E9" s="14">
        <f>E8/Página1!E14</f>
        <v>407.86222526041661</v>
      </c>
      <c r="F9" s="14">
        <f>F8/Página1!F14</f>
        <v>426.03617539713531</v>
      </c>
      <c r="G9" s="14">
        <f>G8/Página1!G14</f>
        <v>445.02795329000634</v>
      </c>
      <c r="H9" s="14">
        <f>H8/Página1!H14</f>
        <v>464.87436118805664</v>
      </c>
      <c r="I9" s="14">
        <f>I8/Página1!I14</f>
        <v>485.61385744151914</v>
      </c>
    </row>
    <row r="11" spans="2:9" x14ac:dyDescent="0.3">
      <c r="B11" s="4" t="s">
        <v>53</v>
      </c>
      <c r="C11" t="s">
        <v>9</v>
      </c>
      <c r="D11" s="42">
        <f>INDEX(Cenários!D$28:D$30,MATCH($D$2,Cenários!$B$4:$B$6,0))</f>
        <v>-4221706.25</v>
      </c>
      <c r="E11" s="42">
        <f>INDEX(Cenários!E$28:E$30,MATCH($D$2,Cenários!$B$4:$B$6,0))</f>
        <v>-7183771.0312499925</v>
      </c>
      <c r="F11" s="42">
        <f>INDEX(Cenários!F$28:F$30,MATCH($D$2,Cenários!$B$4:$B$6,0))</f>
        <v>-7359743.5776562411</v>
      </c>
      <c r="G11" s="42">
        <f>INDEX(Cenários!G$28:G$30,MATCH($D$2,Cenários!$B$4:$B$6,0))</f>
        <v>-7144967.3886507787</v>
      </c>
      <c r="H11" s="42">
        <f>INDEX(Cenários!H$28:H$30,MATCH($D$2,Cenários!$B$4:$B$6,0))</f>
        <v>-6938466.3086400535</v>
      </c>
      <c r="I11" s="42">
        <f>INDEX(Cenários!I$28:I$30,MATCH($D$2,Cenários!$B$4:$B$6,0))</f>
        <v>-6740612.717528861</v>
      </c>
    </row>
    <row r="12" spans="2:9" x14ac:dyDescent="0.3">
      <c r="B12" t="s">
        <v>127</v>
      </c>
      <c r="C12" t="s">
        <v>9</v>
      </c>
      <c r="D12" s="24">
        <f>CAPEX!D10</f>
        <v>0</v>
      </c>
      <c r="E12" s="24">
        <f>CAPEX!E10</f>
        <v>1199000</v>
      </c>
      <c r="F12" s="24">
        <f>CAPEX!F10</f>
        <v>1199000</v>
      </c>
      <c r="G12" s="24">
        <f>CAPEX!G10</f>
        <v>1199000</v>
      </c>
      <c r="H12" s="24">
        <f>CAPEX!H10</f>
        <v>1199000</v>
      </c>
      <c r="I12" s="24">
        <f>CAPEX!I10</f>
        <v>1199000</v>
      </c>
    </row>
    <row r="13" spans="2:9" x14ac:dyDescent="0.3">
      <c r="B13" t="s">
        <v>128</v>
      </c>
      <c r="C13" t="s">
        <v>9</v>
      </c>
      <c r="D13" s="42">
        <f>-CAPEX!D9</f>
        <v>-11990000</v>
      </c>
      <c r="E13" s="42">
        <f>-CAPEX!E9</f>
        <v>0</v>
      </c>
      <c r="F13" s="42">
        <f>-CAPEX!F9</f>
        <v>0</v>
      </c>
      <c r="G13" s="42">
        <f>-CAPEX!G9</f>
        <v>0</v>
      </c>
      <c r="H13" s="42">
        <f>-CAPEX!H9</f>
        <v>0</v>
      </c>
      <c r="I13" s="42">
        <f>-CAPEX!I9</f>
        <v>0</v>
      </c>
    </row>
    <row r="14" spans="2:9" x14ac:dyDescent="0.3">
      <c r="B14" s="4" t="s">
        <v>129</v>
      </c>
      <c r="C14" t="s">
        <v>9</v>
      </c>
      <c r="D14" s="39">
        <f>D11+D12+D13</f>
        <v>-16211706.25</v>
      </c>
      <c r="E14" s="39">
        <f t="shared" ref="E14:I14" si="1">E11+E12+E13</f>
        <v>-5984771.0312499925</v>
      </c>
      <c r="F14" s="39">
        <f t="shared" si="1"/>
        <v>-6160743.5776562411</v>
      </c>
      <c r="G14" s="39">
        <f t="shared" si="1"/>
        <v>-5945967.3886507787</v>
      </c>
      <c r="H14" s="39">
        <f t="shared" si="1"/>
        <v>-5739466.3086400535</v>
      </c>
      <c r="I14" s="39">
        <f t="shared" si="1"/>
        <v>-5541612.717528861</v>
      </c>
    </row>
    <row r="15" spans="2:9" x14ac:dyDescent="0.3">
      <c r="B15" t="s">
        <v>130</v>
      </c>
      <c r="C15" t="s">
        <v>3</v>
      </c>
      <c r="D15" s="43">
        <f>1/(1+$D$21)^(D$3-$D$3)</f>
        <v>1</v>
      </c>
      <c r="E15" s="43">
        <f t="shared" ref="E15:I15" si="2">1/(1+$D$21)^(E$3-$D$3)</f>
        <v>0.89285714285714279</v>
      </c>
      <c r="F15" s="43">
        <f t="shared" si="2"/>
        <v>0.79719387755102034</v>
      </c>
      <c r="G15" s="43">
        <f t="shared" si="2"/>
        <v>0.71178024781341087</v>
      </c>
      <c r="H15" s="43">
        <f t="shared" si="2"/>
        <v>0.63551807840483121</v>
      </c>
      <c r="I15" s="43">
        <f t="shared" si="2"/>
        <v>0.56742685571859919</v>
      </c>
    </row>
    <row r="16" spans="2:9" x14ac:dyDescent="0.3">
      <c r="B16" t="s">
        <v>131</v>
      </c>
      <c r="C16" t="s">
        <v>9</v>
      </c>
      <c r="D16" s="38">
        <f>D14*D15</f>
        <v>-16211706.25</v>
      </c>
      <c r="E16" s="38">
        <f t="shared" ref="E16:I16" si="3">E14*E15</f>
        <v>-5343545.5636160644</v>
      </c>
      <c r="F16" s="38">
        <f t="shared" si="3"/>
        <v>-4911307.0612693243</v>
      </c>
      <c r="G16" s="38">
        <f t="shared" si="3"/>
        <v>-4232222.141384311</v>
      </c>
      <c r="H16" s="38">
        <f t="shared" si="3"/>
        <v>-3647534.5995361968</v>
      </c>
      <c r="I16" s="38">
        <f t="shared" si="3"/>
        <v>-3144459.8799176035</v>
      </c>
    </row>
    <row r="17" spans="2:9" x14ac:dyDescent="0.3">
      <c r="B17" t="s">
        <v>132</v>
      </c>
      <c r="C17" t="s">
        <v>9</v>
      </c>
      <c r="D17" s="38">
        <f>D14</f>
        <v>-16211706.25</v>
      </c>
      <c r="E17" s="38">
        <f>D17+E14</f>
        <v>-22196477.281249993</v>
      </c>
      <c r="F17" s="38">
        <f t="shared" ref="F17:I17" si="4">E17+F14</f>
        <v>-28357220.858906232</v>
      </c>
      <c r="G17" s="38">
        <f t="shared" si="4"/>
        <v>-34303188.247557014</v>
      </c>
      <c r="H17" s="38">
        <f t="shared" si="4"/>
        <v>-40042654.55619707</v>
      </c>
      <c r="I17" s="38">
        <f t="shared" si="4"/>
        <v>-45584267.273725927</v>
      </c>
    </row>
    <row r="18" spans="2:9" x14ac:dyDescent="0.3">
      <c r="B18" t="s">
        <v>133</v>
      </c>
      <c r="C18" t="s">
        <v>9</v>
      </c>
      <c r="D18" s="38">
        <f>D16</f>
        <v>-16211706.25</v>
      </c>
      <c r="E18" s="38">
        <f>D18+E16</f>
        <v>-21555251.813616063</v>
      </c>
      <c r="F18" s="38">
        <f t="shared" ref="F18:I18" si="5">E18+F16</f>
        <v>-26466558.874885388</v>
      </c>
      <c r="G18" s="38">
        <f t="shared" si="5"/>
        <v>-30698781.016269699</v>
      </c>
      <c r="H18" s="38">
        <f t="shared" si="5"/>
        <v>-34346315.615805894</v>
      </c>
      <c r="I18" s="38">
        <f t="shared" si="5"/>
        <v>-37490775.495723501</v>
      </c>
    </row>
    <row r="20" spans="2:9" x14ac:dyDescent="0.3">
      <c r="B20" s="5" t="s">
        <v>134</v>
      </c>
      <c r="C20" s="5" t="s">
        <v>0</v>
      </c>
    </row>
    <row r="21" spans="2:9" x14ac:dyDescent="0.3">
      <c r="B21" t="s">
        <v>135</v>
      </c>
      <c r="C21" t="s">
        <v>24</v>
      </c>
      <c r="D21" s="7">
        <v>0.12</v>
      </c>
    </row>
    <row r="22" spans="2:9" x14ac:dyDescent="0.3">
      <c r="B22" t="s">
        <v>136</v>
      </c>
      <c r="C22" t="s">
        <v>9</v>
      </c>
      <c r="D22" s="24">
        <f>CAPEX!D3</f>
        <v>11990000</v>
      </c>
    </row>
    <row r="23" spans="2:9" x14ac:dyDescent="0.3">
      <c r="B23" s="4" t="s">
        <v>137</v>
      </c>
      <c r="C23" t="s">
        <v>9</v>
      </c>
      <c r="D23" s="39">
        <f>SUM(D16:I16)</f>
        <v>-37490775.495723501</v>
      </c>
    </row>
    <row r="24" spans="2:9" x14ac:dyDescent="0.3">
      <c r="B24" s="4" t="s">
        <v>138</v>
      </c>
      <c r="C24" t="s">
        <v>4</v>
      </c>
      <c r="D24" s="35" t="str">
        <f>IFERROR(IRR(D14:I14),"n/d")</f>
        <v>n/d</v>
      </c>
    </row>
    <row r="25" spans="2:9" x14ac:dyDescent="0.3">
      <c r="B25" t="s">
        <v>139</v>
      </c>
      <c r="C25" t="s">
        <v>4</v>
      </c>
      <c r="D25" s="11">
        <f>(SUM(E14:I14)-D22)/D22</f>
        <v>-3.4497548810446976</v>
      </c>
    </row>
    <row r="26" spans="2:9" x14ac:dyDescent="0.3">
      <c r="B26" t="s">
        <v>140</v>
      </c>
      <c r="C26" t="s">
        <v>11</v>
      </c>
      <c r="D26" s="44" t="str" cm="1">
        <f t="array" ref="D26">IFERROR(COUNTIF(D17:I17,"&lt;0")+(-INDEX(D17:I17,COUNTIF(D17:I17,"&lt;0"))/INDEX(D14:I14,COUNTIF(D17:I17,"&lt;0")+1)),"&gt; horizonte")</f>
        <v>&gt; horizonte</v>
      </c>
    </row>
    <row r="27" spans="2:9" x14ac:dyDescent="0.3">
      <c r="B27" t="s">
        <v>141</v>
      </c>
      <c r="C27" t="s">
        <v>11</v>
      </c>
      <c r="D27" s="44" t="str" cm="1">
        <f t="array" ref="D27">IFERROR(COUNTIF(D18:I18,"&lt;0")+(-INDEX(D18:I18,COUNTIF(D18:I18,"&lt;0"))/INDEX(D16:I16,COUNTIF(D18:I18,"&lt;0")+1)),"&gt; horizonte")</f>
        <v>&gt; horizonte</v>
      </c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Cenário inválido" error="Selecione um cenário da aba Cenários." promptTitle="Cenário" prompt="Escolha Otimista, Razoável ou Pessimista." xr:uid="{CD7AE6DE-98E3-4580-A060-81CC612CFB44}">
          <x14:formula1>
            <xm:f>Cenários!$B$4:$B$6</xm:f>
          </x14:formula1>
          <xm:sqref>D2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Página1</vt:lpstr>
      <vt:lpstr>DRE</vt:lpstr>
      <vt:lpstr>CAPEX</vt:lpstr>
      <vt:lpstr>Dívida</vt:lpstr>
      <vt:lpstr>Cenários</vt:lpstr>
      <vt:lpstr>Fluxo de Caixa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Galatro</dc:creator>
  <cp:lastModifiedBy>Mateus Galatro</cp:lastModifiedBy>
  <dcterms:created xsi:type="dcterms:W3CDTF">2026-06-22T20:48:58Z</dcterms:created>
  <dcterms:modified xsi:type="dcterms:W3CDTF">2026-06-23T19:23:56Z</dcterms:modified>
</cp:coreProperties>
</file>