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\Downloads\"/>
    </mc:Choice>
  </mc:AlternateContent>
  <xr:revisionPtr revIDLastSave="0" documentId="13_ncr:1_{48F0AEED-C2C8-42DC-8309-61A3B69495E2}" xr6:coauthVersionLast="47" xr6:coauthVersionMax="47" xr10:uidLastSave="{00000000-0000-0000-0000-000000000000}"/>
  <bookViews>
    <workbookView xWindow="-108" yWindow="-108" windowWidth="23256" windowHeight="12456" activeTab="3" xr2:uid="{71384E92-AE86-4473-91E3-F2E96F24C932}"/>
  </bookViews>
  <sheets>
    <sheet name="Premissas" sheetId="2" r:id="rId1"/>
    <sheet name="DRE" sheetId="6" r:id="rId2"/>
    <sheet name="CAPEX" sheetId="3" r:id="rId3"/>
    <sheet name="Fluxo de Caix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6" l="1"/>
  <c r="D26" i="3" a="1"/>
  <c r="D26" i="3" s="1"/>
  <c r="I52" i="2"/>
  <c r="H52" i="2"/>
  <c r="G52" i="2"/>
  <c r="F52" i="2"/>
  <c r="E52" i="2"/>
  <c r="I49" i="2"/>
  <c r="H49" i="2"/>
  <c r="G49" i="2"/>
  <c r="F49" i="2"/>
  <c r="E49" i="2"/>
  <c r="I48" i="2"/>
  <c r="H48" i="2"/>
  <c r="G48" i="2"/>
  <c r="I47" i="2"/>
  <c r="H47" i="2"/>
  <c r="G47" i="2"/>
  <c r="F47" i="2"/>
  <c r="E47" i="2"/>
  <c r="I46" i="2"/>
  <c r="H46" i="2"/>
  <c r="G46" i="2"/>
  <c r="F46" i="2"/>
  <c r="F48" i="2" s="1"/>
  <c r="E46" i="2"/>
  <c r="E48" i="2" s="1"/>
  <c r="I42" i="2"/>
  <c r="I43" i="2" s="1"/>
  <c r="H42" i="2"/>
  <c r="H43" i="2" s="1"/>
  <c r="G42" i="2"/>
  <c r="G43" i="2" s="1"/>
  <c r="F42" i="2"/>
  <c r="F43" i="2" s="1"/>
  <c r="E42" i="2"/>
  <c r="E43" i="2" s="1"/>
  <c r="I41" i="2"/>
  <c r="H41" i="2"/>
  <c r="G41" i="2"/>
  <c r="F41" i="2"/>
  <c r="E41" i="2"/>
  <c r="I39" i="2"/>
  <c r="H39" i="2"/>
  <c r="H40" i="2" s="1"/>
  <c r="G39" i="2"/>
  <c r="G40" i="2" s="1"/>
  <c r="F39" i="2"/>
  <c r="F40" i="2" s="1"/>
  <c r="E39" i="2"/>
  <c r="E40" i="2" s="1"/>
  <c r="I38" i="2"/>
  <c r="I40" i="2" s="1"/>
  <c r="H38" i="2"/>
  <c r="G38" i="2"/>
  <c r="F38" i="2"/>
  <c r="E38" i="2"/>
  <c r="I37" i="2"/>
  <c r="H37" i="2"/>
  <c r="G37" i="2"/>
  <c r="F37" i="2"/>
  <c r="E37" i="2"/>
  <c r="I35" i="2"/>
  <c r="I36" i="2" s="1"/>
  <c r="H35" i="2"/>
  <c r="H36" i="2" s="1"/>
  <c r="I34" i="2"/>
  <c r="H34" i="2"/>
  <c r="G34" i="2"/>
  <c r="G35" i="2" s="1"/>
  <c r="G36" i="2" s="1"/>
  <c r="F34" i="2"/>
  <c r="F35" i="2" s="1"/>
  <c r="F36" i="2" s="1"/>
  <c r="E34" i="2"/>
  <c r="E35" i="2" s="1"/>
  <c r="E36" i="2" s="1"/>
  <c r="D58" i="2"/>
  <c r="D57" i="2"/>
  <c r="D56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H29" i="2"/>
  <c r="H30" i="2" s="1"/>
  <c r="G29" i="2"/>
  <c r="G30" i="2" s="1"/>
  <c r="F29" i="2"/>
  <c r="F30" i="2" s="1"/>
  <c r="E29" i="2"/>
  <c r="E30" i="2" s="1"/>
  <c r="I28" i="2"/>
  <c r="I29" i="2" s="1"/>
  <c r="I30" i="2" s="1"/>
  <c r="H28" i="2"/>
  <c r="G28" i="2"/>
  <c r="F28" i="2"/>
  <c r="E28" i="2"/>
  <c r="I27" i="2"/>
  <c r="I31" i="2" s="1"/>
  <c r="H27" i="2"/>
  <c r="H31" i="2" s="1"/>
  <c r="G27" i="2"/>
  <c r="G31" i="2" s="1"/>
  <c r="F27" i="2"/>
  <c r="F31" i="2" s="1"/>
  <c r="E27" i="2"/>
  <c r="E31" i="2" s="1"/>
  <c r="D31" i="2"/>
  <c r="D30" i="2"/>
  <c r="D29" i="2"/>
  <c r="D28" i="2"/>
  <c r="D27" i="2"/>
  <c r="D3" i="3"/>
  <c r="D35" i="3"/>
  <c r="D33" i="3"/>
  <c r="D31" i="3"/>
  <c r="D29" i="3"/>
  <c r="D20" i="3"/>
  <c r="D7" i="5"/>
  <c r="E2" i="5"/>
  <c r="F2" i="5" s="1"/>
  <c r="D2" i="5"/>
  <c r="I18" i="6"/>
  <c r="H18" i="6"/>
  <c r="G18" i="6"/>
  <c r="F18" i="6"/>
  <c r="E18" i="6"/>
  <c r="E12" i="6"/>
  <c r="D18" i="6"/>
  <c r="D15" i="6"/>
  <c r="F2" i="6"/>
  <c r="G2" i="6" s="1"/>
  <c r="H2" i="6" s="1"/>
  <c r="I2" i="6" s="1"/>
  <c r="E2" i="6"/>
  <c r="D2" i="6"/>
  <c r="D12" i="6"/>
  <c r="F25" i="2"/>
  <c r="G25" i="2" s="1"/>
  <c r="H25" i="2" s="1"/>
  <c r="I25" i="2" s="1"/>
  <c r="F23" i="2"/>
  <c r="F21" i="2"/>
  <c r="G21" i="2" s="1"/>
  <c r="H21" i="2" s="1"/>
  <c r="I21" i="2" s="1"/>
  <c r="F19" i="2"/>
  <c r="G19" i="2" s="1"/>
  <c r="H19" i="2" s="1"/>
  <c r="I19" i="2" s="1"/>
  <c r="F18" i="2"/>
  <c r="G18" i="2" s="1"/>
  <c r="H18" i="2" s="1"/>
  <c r="I18" i="2" s="1"/>
  <c r="F15" i="2"/>
  <c r="F14" i="2"/>
  <c r="F12" i="2"/>
  <c r="G12" i="2" s="1"/>
  <c r="H12" i="2" s="1"/>
  <c r="I12" i="2" s="1"/>
  <c r="F9" i="2"/>
  <c r="G9" i="2" s="1"/>
  <c r="H9" i="2" s="1"/>
  <c r="I9" i="2" s="1"/>
  <c r="F7" i="2"/>
  <c r="G7" i="2" s="1"/>
  <c r="H7" i="2" s="1"/>
  <c r="I7" i="2" s="1"/>
  <c r="F5" i="2"/>
  <c r="G5" i="2" s="1"/>
  <c r="H5" i="2" s="1"/>
  <c r="I5" i="2" s="1"/>
  <c r="F4" i="2"/>
  <c r="F17" i="2" s="1"/>
  <c r="E25" i="2"/>
  <c r="E24" i="2"/>
  <c r="E23" i="2"/>
  <c r="E22" i="2"/>
  <c r="F22" i="2" s="1"/>
  <c r="G22" i="2" s="1"/>
  <c r="H22" i="2" s="1"/>
  <c r="I22" i="2" s="1"/>
  <c r="E21" i="2"/>
  <c r="E20" i="2"/>
  <c r="E19" i="2"/>
  <c r="E18" i="2"/>
  <c r="E17" i="2"/>
  <c r="E16" i="2"/>
  <c r="F16" i="2" s="1"/>
  <c r="E15" i="2"/>
  <c r="E14" i="2"/>
  <c r="E13" i="2"/>
  <c r="E12" i="2"/>
  <c r="E11" i="2"/>
  <c r="F11" i="2" s="1"/>
  <c r="E10" i="2"/>
  <c r="F10" i="2" s="1"/>
  <c r="G10" i="2" s="1"/>
  <c r="H10" i="2" s="1"/>
  <c r="I10" i="2" s="1"/>
  <c r="E9" i="2"/>
  <c r="E8" i="2"/>
  <c r="F8" i="2" s="1"/>
  <c r="E7" i="2"/>
  <c r="E6" i="2"/>
  <c r="F6" i="2" s="1"/>
  <c r="G6" i="2" s="1"/>
  <c r="H6" i="2" s="1"/>
  <c r="I6" i="2" s="1"/>
  <c r="E5" i="2"/>
  <c r="E4" i="2"/>
  <c r="E2" i="2"/>
  <c r="F2" i="2" s="1"/>
  <c r="G2" i="2" s="1"/>
  <c r="H2" i="2" s="1"/>
  <c r="I2" i="2" s="1"/>
  <c r="D13" i="3"/>
  <c r="D8" i="3"/>
  <c r="D9" i="3" s="1"/>
  <c r="E2" i="3"/>
  <c r="E13" i="3" s="1"/>
  <c r="E20" i="3" l="1"/>
  <c r="F2" i="3"/>
  <c r="F7" i="5"/>
  <c r="G2" i="5"/>
  <c r="E7" i="5"/>
  <c r="E44" i="2"/>
  <c r="G44" i="2"/>
  <c r="F44" i="2"/>
  <c r="H44" i="2"/>
  <c r="I44" i="2"/>
  <c r="D5" i="5"/>
  <c r="D6" i="5" s="1"/>
  <c r="D9" i="5" s="1"/>
  <c r="D10" i="3"/>
  <c r="D14" i="5"/>
  <c r="G16" i="2"/>
  <c r="E8" i="6"/>
  <c r="F8" i="6"/>
  <c r="D8" i="6"/>
  <c r="G8" i="2"/>
  <c r="E11" i="6"/>
  <c r="D8" i="5"/>
  <c r="E3" i="6"/>
  <c r="F20" i="2"/>
  <c r="G20" i="2" s="1"/>
  <c r="H20" i="2" s="1"/>
  <c r="I20" i="2" s="1"/>
  <c r="G4" i="2"/>
  <c r="H4" i="2" s="1"/>
  <c r="I4" i="2" s="1"/>
  <c r="F13" i="2"/>
  <c r="G13" i="2" s="1"/>
  <c r="H13" i="2" s="1"/>
  <c r="I13" i="2" s="1"/>
  <c r="F24" i="2"/>
  <c r="F13" i="3" l="1"/>
  <c r="F20" i="3"/>
  <c r="G2" i="3"/>
  <c r="H2" i="5"/>
  <c r="G7" i="5"/>
  <c r="I50" i="2"/>
  <c r="I45" i="2"/>
  <c r="H50" i="2"/>
  <c r="H45" i="2"/>
  <c r="F45" i="2"/>
  <c r="F50" i="2"/>
  <c r="G50" i="2"/>
  <c r="G45" i="2"/>
  <c r="E45" i="2"/>
  <c r="E50" i="2"/>
  <c r="E7" i="6"/>
  <c r="D21" i="3"/>
  <c r="D15" i="3"/>
  <c r="D17" i="3" s="1"/>
  <c r="E14" i="3" s="1"/>
  <c r="E16" i="3"/>
  <c r="G24" i="2"/>
  <c r="F12" i="6"/>
  <c r="H16" i="2"/>
  <c r="G8" i="6"/>
  <c r="H8" i="2"/>
  <c r="G11" i="6"/>
  <c r="D11" i="6"/>
  <c r="D10" i="5"/>
  <c r="D22" i="3"/>
  <c r="D23" i="3"/>
  <c r="G23" i="2"/>
  <c r="H23" i="2" s="1"/>
  <c r="I23" i="2" s="1"/>
  <c r="G17" i="2"/>
  <c r="H17" i="2" s="1"/>
  <c r="I17" i="2" s="1"/>
  <c r="G14" i="2"/>
  <c r="H14" i="2" s="1"/>
  <c r="I14" i="2" s="1"/>
  <c r="G15" i="2"/>
  <c r="H15" i="2" s="1"/>
  <c r="I15" i="2" s="1"/>
  <c r="G11" i="2"/>
  <c r="H11" i="2" s="1"/>
  <c r="I11" i="2" s="1"/>
  <c r="G13" i="3" l="1"/>
  <c r="H2" i="3"/>
  <c r="G20" i="3"/>
  <c r="H7" i="5"/>
  <c r="I2" i="5"/>
  <c r="I7" i="5" s="1"/>
  <c r="E53" i="2"/>
  <c r="E51" i="2"/>
  <c r="F51" i="2"/>
  <c r="F53" i="2"/>
  <c r="G51" i="2"/>
  <c r="G53" i="2"/>
  <c r="H53" i="2"/>
  <c r="H51" i="2"/>
  <c r="I51" i="2"/>
  <c r="I53" i="2"/>
  <c r="E15" i="6"/>
  <c r="E4" i="5" s="1"/>
  <c r="F16" i="3"/>
  <c r="E17" i="3"/>
  <c r="F14" i="3" s="1"/>
  <c r="F17" i="3" s="1"/>
  <c r="G14" i="3" s="1"/>
  <c r="H24" i="2"/>
  <c r="G12" i="6"/>
  <c r="I16" i="2"/>
  <c r="I8" i="6" s="1"/>
  <c r="H8" i="6"/>
  <c r="G3" i="6"/>
  <c r="I8" i="2"/>
  <c r="F7" i="6"/>
  <c r="G7" i="6"/>
  <c r="F11" i="6"/>
  <c r="F3" i="6"/>
  <c r="F4" i="6" s="1"/>
  <c r="E5" i="6"/>
  <c r="D7" i="6"/>
  <c r="I2" i="3" l="1"/>
  <c r="H20" i="3"/>
  <c r="H13" i="3"/>
  <c r="I56" i="2"/>
  <c r="I54" i="2"/>
  <c r="H54" i="2"/>
  <c r="H56" i="2"/>
  <c r="G54" i="2"/>
  <c r="G56" i="2"/>
  <c r="F56" i="2"/>
  <c r="F54" i="2"/>
  <c r="E54" i="2"/>
  <c r="E56" i="2"/>
  <c r="F15" i="6"/>
  <c r="F4" i="5" s="1"/>
  <c r="G16" i="3"/>
  <c r="I24" i="2"/>
  <c r="I12" i="6" s="1"/>
  <c r="H12" i="6"/>
  <c r="G4" i="6"/>
  <c r="I11" i="6"/>
  <c r="H11" i="6"/>
  <c r="F5" i="6"/>
  <c r="D3" i="6"/>
  <c r="E4" i="6" s="1"/>
  <c r="D5" i="6"/>
  <c r="G5" i="6"/>
  <c r="E6" i="6"/>
  <c r="I13" i="3" l="1"/>
  <c r="I20" i="3"/>
  <c r="E57" i="2"/>
  <c r="E58" i="2"/>
  <c r="F57" i="2"/>
  <c r="F58" i="2" s="1"/>
  <c r="G57" i="2"/>
  <c r="G58" i="2"/>
  <c r="H57" i="2"/>
  <c r="H58" i="2" s="1"/>
  <c r="I57" i="2"/>
  <c r="I58" i="2" s="1"/>
  <c r="G15" i="6"/>
  <c r="G4" i="5" s="1"/>
  <c r="H16" i="3"/>
  <c r="G17" i="3"/>
  <c r="H14" i="3" s="1"/>
  <c r="H17" i="3" s="1"/>
  <c r="I14" i="3" s="1"/>
  <c r="H7" i="6"/>
  <c r="I7" i="6"/>
  <c r="F6" i="6"/>
  <c r="E9" i="6"/>
  <c r="E10" i="6" s="1"/>
  <c r="G6" i="6"/>
  <c r="D6" i="6"/>
  <c r="I16" i="3" l="1"/>
  <c r="H15" i="6"/>
  <c r="H4" i="5" s="1"/>
  <c r="I3" i="6"/>
  <c r="I5" i="6"/>
  <c r="H3" i="6"/>
  <c r="H4" i="6" s="1"/>
  <c r="H5" i="6"/>
  <c r="D9" i="6"/>
  <c r="D10" i="6" s="1"/>
  <c r="G9" i="6"/>
  <c r="G10" i="6" s="1"/>
  <c r="F9" i="6"/>
  <c r="F10" i="6" s="1"/>
  <c r="E13" i="6"/>
  <c r="E14" i="6" s="1"/>
  <c r="J16" i="3" l="1"/>
  <c r="K16" i="3" s="1"/>
  <c r="L16" i="3" s="1"/>
  <c r="M16" i="3" s="1"/>
  <c r="N16" i="3" s="1"/>
  <c r="I15" i="6"/>
  <c r="I4" i="5" s="1"/>
  <c r="I17" i="3"/>
  <c r="J14" i="3" s="1"/>
  <c r="J17" i="3" s="1"/>
  <c r="K14" i="3" s="1"/>
  <c r="K17" i="3" s="1"/>
  <c r="L14" i="3" s="1"/>
  <c r="L17" i="3" s="1"/>
  <c r="M14" i="3" s="1"/>
  <c r="M17" i="3" s="1"/>
  <c r="N14" i="3" s="1"/>
  <c r="N17" i="3" s="1"/>
  <c r="H6" i="6"/>
  <c r="I4" i="6"/>
  <c r="E16" i="6"/>
  <c r="E17" i="6" s="1"/>
  <c r="F13" i="6"/>
  <c r="F14" i="6" s="1"/>
  <c r="G13" i="6"/>
  <c r="G14" i="6" s="1"/>
  <c r="D13" i="6"/>
  <c r="D14" i="6" s="1"/>
  <c r="I6" i="6" l="1"/>
  <c r="H9" i="6"/>
  <c r="H10" i="6" s="1"/>
  <c r="G16" i="6"/>
  <c r="G17" i="6" s="1"/>
  <c r="F16" i="6"/>
  <c r="F17" i="6" s="1"/>
  <c r="E19" i="6"/>
  <c r="D16" i="6"/>
  <c r="D17" i="6" s="1"/>
  <c r="H13" i="6" l="1"/>
  <c r="H14" i="6" s="1"/>
  <c r="I9" i="6"/>
  <c r="I10" i="6" s="1"/>
  <c r="E20" i="6"/>
  <c r="F19" i="6"/>
  <c r="F20" i="6"/>
  <c r="D19" i="6"/>
  <c r="D20" i="6"/>
  <c r="G19" i="6"/>
  <c r="G20" i="6"/>
  <c r="I13" i="6" l="1"/>
  <c r="I14" i="6" s="1"/>
  <c r="H16" i="6"/>
  <c r="H17" i="6" s="1"/>
  <c r="F21" i="6"/>
  <c r="F22" i="6" s="1"/>
  <c r="E59" i="2"/>
  <c r="E21" i="6"/>
  <c r="H20" i="6" l="1"/>
  <c r="H19" i="6"/>
  <c r="F59" i="2"/>
  <c r="I16" i="6"/>
  <c r="I17" i="6" s="1"/>
  <c r="F3" i="5"/>
  <c r="F6" i="5" s="1"/>
  <c r="F21" i="3" s="1"/>
  <c r="G59" i="2"/>
  <c r="G21" i="6"/>
  <c r="E22" i="6"/>
  <c r="E3" i="5"/>
  <c r="E6" i="5" s="1"/>
  <c r="D59" i="2"/>
  <c r="D21" i="6"/>
  <c r="F8" i="5" l="1"/>
  <c r="I19" i="6"/>
  <c r="I20" i="6"/>
  <c r="H59" i="2"/>
  <c r="H21" i="6"/>
  <c r="E9" i="5"/>
  <c r="E21" i="3"/>
  <c r="E8" i="5"/>
  <c r="E10" i="5" s="1"/>
  <c r="F10" i="5" s="1"/>
  <c r="G22" i="6"/>
  <c r="G3" i="5"/>
  <c r="G6" i="5" s="1"/>
  <c r="I59" i="2" l="1"/>
  <c r="H3" i="5"/>
  <c r="H6" i="5" s="1"/>
  <c r="H22" i="6"/>
  <c r="G21" i="3"/>
  <c r="G8" i="5"/>
  <c r="G10" i="5" s="1"/>
  <c r="E23" i="3"/>
  <c r="F9" i="5"/>
  <c r="E22" i="3"/>
  <c r="I21" i="6" l="1"/>
  <c r="I3" i="5"/>
  <c r="I6" i="5" s="1"/>
  <c r="I22" i="6"/>
  <c r="H8" i="5"/>
  <c r="H10" i="5" s="1"/>
  <c r="H21" i="3"/>
  <c r="G9" i="5"/>
  <c r="F23" i="3"/>
  <c r="F22" i="3"/>
  <c r="D16" i="5" l="1"/>
  <c r="I21" i="3"/>
  <c r="I8" i="5"/>
  <c r="D15" i="5" s="1"/>
  <c r="D17" i="5"/>
  <c r="H9" i="5"/>
  <c r="G23" i="3"/>
  <c r="G22" i="3"/>
  <c r="I10" i="5" l="1"/>
  <c r="D19" i="5" s="1" a="1"/>
  <c r="D19" i="5" s="1"/>
  <c r="I9" i="5"/>
  <c r="H22" i="3"/>
  <c r="H23" i="3"/>
  <c r="D18" i="5" l="1" a="1"/>
  <c r="D18" i="5" s="1"/>
  <c r="D25" i="3" s="1"/>
  <c r="I23" i="3"/>
  <c r="I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Mateus Galatro</author>
  </authors>
  <commentList>
    <comment ref="D13" authorId="0" shapeId="0" xr:uid="{DB2E6130-99F6-459F-8D67-AF573B8F18FF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Biomassa (cavaco): ~3,3 MJ/kg água, fornalha ~75%, cavaco ~R$220/t + eletricidade. ~R$117 por tonelada de água evaporada. Antes R$55/t de esterco era equivalente a 55%-&gt;15%.</t>
        </r>
      </text>
    </comment>
    <comment ref="D16" authorId="0" shapeId="0" xr:uid="{8079DAEF-C9B0-4ABD-B5FC-E3EA54157FAB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Planta com ~5 linhas operando em turnos. Estimativa.</t>
        </r>
      </text>
    </comment>
    <comment ref="D21" authorId="0" shapeId="0" xr:uid="{4DBE89AC-E3EA-4A86-BE4B-206657FED26D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A definir (item 7: distância/custo de transporte). Zerado por ora.</t>
        </r>
      </text>
    </comment>
    <comment ref="D22" authorId="0" shapeId="0" xr:uid="{D0224BAD-9D07-4313-99DB-9336889456BF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A definir (item 6: custo de descarte). Zerado por ora.</t>
        </r>
      </text>
    </comment>
    <comment ref="D24" authorId="0" shapeId="0" xr:uid="{1D07F495-6122-41BC-AFA6-45B76C7E1680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Admin/comercial/contábil para operação industrial. Estimativa.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Mateus Galatro</author>
  </authors>
  <commentList>
    <comment ref="D32" authorId="0" shapeId="0" xr:uid="{711A7496-BAEB-46B3-BC5C-2DD8E25530CB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Capacidade típica de 1 linha rotativa a biomassa. Estimativa.</t>
        </r>
      </text>
    </comment>
    <comment ref="D34" authorId="0" shapeId="0" xr:uid="{918C9F9C-A15A-44CC-8D91-094378C5D695}">
      <text>
        <r>
          <rPr>
            <b/>
            <sz val="9"/>
            <color indexed="81"/>
            <rFont val="Segoe UI"/>
            <charset val="1"/>
          </rPr>
          <t>Mateus Galatro:</t>
        </r>
        <r>
          <rPr>
            <sz val="9"/>
            <color indexed="81"/>
            <rFont val="Segoe UI"/>
            <charset val="1"/>
          </rPr>
          <t xml:space="preserve">
Linha rotativa completa (cilindro+fornalha+alimentador+ciclone+exaustor+painel). Estimativa de mercado.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<sst xmlns="http://schemas.openxmlformats.org/spreadsheetml/2006/main" count="245" uniqueCount="128">
  <si>
    <t>Dias de operação/ano</t>
  </si>
  <si>
    <t>dias</t>
  </si>
  <si>
    <t>Esterco úmido gerado</t>
  </si>
  <si>
    <t>t/ano</t>
  </si>
  <si>
    <t>%</t>
  </si>
  <si>
    <t>Umidade final (pós-secador)</t>
  </si>
  <si>
    <t>Composto seco produzido</t>
  </si>
  <si>
    <t>R$/t·km</t>
  </si>
  <si>
    <t>km</t>
  </si>
  <si>
    <t>R$/t</t>
  </si>
  <si>
    <t>anos</t>
  </si>
  <si>
    <t>Licenças ambientais</t>
  </si>
  <si>
    <t>Capital de giro inicial</t>
  </si>
  <si>
    <t>Contingência (10%)</t>
  </si>
  <si>
    <t>R$/mês</t>
  </si>
  <si>
    <t>FC Livre Descontado</t>
  </si>
  <si>
    <t>FC Livre Acumulado</t>
  </si>
  <si>
    <t>FC Descontado Acumulado</t>
  </si>
  <si>
    <t>INDICADORES DE VIABILIDADE</t>
  </si>
  <si>
    <t>CAPEX — Secador Industrial de Esterco</t>
  </si>
  <si>
    <t>Unidade</t>
  </si>
  <si>
    <t>R$</t>
  </si>
  <si>
    <t>CAPEX Total (investimento)</t>
  </si>
  <si>
    <t>Base deprecíavel (exclui capital de giro)</t>
  </si>
  <si>
    <t>Tempo de depreciação</t>
  </si>
  <si>
    <t>Roll-forward do imobilizado</t>
  </si>
  <si>
    <t>Saldo Inicial</t>
  </si>
  <si>
    <t>(−) Depreciação e Amortização</t>
  </si>
  <si>
    <t>Saldo Final</t>
  </si>
  <si>
    <t>PREMISSAS &amp; DRE OPERACIONAL — Secador de Esterco | Itanhandu-MG</t>
  </si>
  <si>
    <t>1. PREMISSAS (inputs em amarelo)</t>
  </si>
  <si>
    <t>Inflação</t>
  </si>
  <si>
    <t>% aa</t>
  </si>
  <si>
    <t>Umidade inicial</t>
  </si>
  <si>
    <t>Preço do composto (2025)</t>
  </si>
  <si>
    <t>Carga tributária s/ vendas</t>
  </si>
  <si>
    <t>Custo aditivos</t>
  </si>
  <si>
    <t>R$/t seco</t>
  </si>
  <si>
    <t>Custo embalagem/ensaque</t>
  </si>
  <si>
    <t>R$/t vend.</t>
  </si>
  <si>
    <t>#</t>
  </si>
  <si>
    <t>Salário mensal/operador</t>
  </si>
  <si>
    <t>Encargos s/ folha</t>
  </si>
  <si>
    <t>Manutenção (% do equipamento)</t>
  </si>
  <si>
    <t>Frete</t>
  </si>
  <si>
    <t>Distância média</t>
  </si>
  <si>
    <t>Fração descartada (entressafra)</t>
  </si>
  <si>
    <t>Penalidade descarte + doação</t>
  </si>
  <si>
    <t>Despesas administrativas</t>
  </si>
  <si>
    <t>Alíquota IRPJ/CSLL</t>
  </si>
  <si>
    <t>2. VOLUMES (calculado)</t>
  </si>
  <si>
    <t>Fator massa seca</t>
  </si>
  <si>
    <t>x</t>
  </si>
  <si>
    <t>Composto vendido</t>
  </si>
  <si>
    <t>Água removida</t>
  </si>
  <si>
    <t>3. DRE OPERACIONAL</t>
  </si>
  <si>
    <t>Receita Bruta</t>
  </si>
  <si>
    <t>(−) Impostos sobre vendas</t>
  </si>
  <si>
    <t>Receita Líquida</t>
  </si>
  <si>
    <t>(−) Aditivos</t>
  </si>
  <si>
    <t>(−) Embalagem/ensaque</t>
  </si>
  <si>
    <t>Custos Variáveis</t>
  </si>
  <si>
    <t>(−) Mão de obra</t>
  </si>
  <si>
    <t>(−) Manutenção</t>
  </si>
  <si>
    <t>Custos Fixos</t>
  </si>
  <si>
    <t>Lucro Bruto</t>
  </si>
  <si>
    <t>Margem Bruta</t>
  </si>
  <si>
    <t>(+) Frete evitado</t>
  </si>
  <si>
    <t>(+) Descarte evitado</t>
  </si>
  <si>
    <t>Economias operacionais</t>
  </si>
  <si>
    <t>(−) Despesas administrativas</t>
  </si>
  <si>
    <t>EBITDA</t>
  </si>
  <si>
    <t>Margem EBITDA</t>
  </si>
  <si>
    <t>EBIT</t>
  </si>
  <si>
    <t>Margem EBIT</t>
  </si>
  <si>
    <t>Resultado financeiro</t>
  </si>
  <si>
    <t>LAIR</t>
  </si>
  <si>
    <t>(−) IRPJ/CSLL</t>
  </si>
  <si>
    <t>Lucro Líquido</t>
  </si>
  <si>
    <t>Margem Líquida</t>
  </si>
  <si>
    <t>yoy</t>
  </si>
  <si>
    <t>(−) Custos Variáveis</t>
  </si>
  <si>
    <t>(−) Custos Fixos</t>
  </si>
  <si>
    <t>(+) Economias operacionais</t>
  </si>
  <si>
    <t>FLUXO DE CAIXA &amp; VALUATION — Secador de Esterco</t>
  </si>
  <si>
    <t>(2025 = construção/CAPEX; operação 2026–2030)</t>
  </si>
  <si>
    <t>(+) Depreciação e Amortização</t>
  </si>
  <si>
    <t>(−) CAPEX (investimento)</t>
  </si>
  <si>
    <t>Fluxo de Caixa Livre</t>
  </si>
  <si>
    <t>Fator de desconto</t>
  </si>
  <si>
    <t>TMA (taxa de desconto)</t>
  </si>
  <si>
    <t>Investimento (CAPEX)</t>
  </si>
  <si>
    <t>VPL @ TMA</t>
  </si>
  <si>
    <t>TIR</t>
  </si>
  <si>
    <t>ROI (operação 5 anos)</t>
  </si>
  <si>
    <t>Payback simples</t>
  </si>
  <si>
    <t>Payback descontado</t>
  </si>
  <si>
    <t>RECUPERAÇÃO DO INVESTIMENTO (payback)</t>
  </si>
  <si>
    <t>FC Livre do projeto</t>
  </si>
  <si>
    <t>Caixa acumulado</t>
  </si>
  <si>
    <t>% do CAPEX recuperado</t>
  </si>
  <si>
    <t>Payback (anos de operação)</t>
  </si>
  <si>
    <t>Investimento se paga no ano</t>
  </si>
  <si>
    <t>ano</t>
  </si>
  <si>
    <t>Ativo depreciável (exclui capital de giro)</t>
  </si>
  <si>
    <t>Esterco úmido — PVA (Primavera)</t>
  </si>
  <si>
    <t>t/dia</t>
  </si>
  <si>
    <t>Esterco úmido — Campanha</t>
  </si>
  <si>
    <t>Volume de venda esperado</t>
  </si>
  <si>
    <t>DRE — Secador de Esterco | PVA (Primavera) + Campanha</t>
  </si>
  <si>
    <t>PREMISSAS — Secador de Esterco | PVA (Primavera) + Campanha</t>
  </si>
  <si>
    <t>Custo de energia (por t de água evaporada)</t>
  </si>
  <si>
    <t>R$/t água</t>
  </si>
  <si>
    <t>Operadores (planta industrial, turnos)</t>
  </si>
  <si>
    <t>(−) Energia (cavaco/biomassa)</t>
  </si>
  <si>
    <t>DIMENSIONAMENTO DO SECADOR</t>
  </si>
  <si>
    <t>Esterco a processar</t>
  </si>
  <si>
    <t>Horas de operação/ano</t>
  </si>
  <si>
    <t>h</t>
  </si>
  <si>
    <t>Vazão de esterco</t>
  </si>
  <si>
    <t>t/h</t>
  </si>
  <si>
    <t>Capacidade por linha</t>
  </si>
  <si>
    <t>Nº de linhas (secadores)</t>
  </si>
  <si>
    <t>Custo por linha completa</t>
  </si>
  <si>
    <t>Secadores (total)</t>
  </si>
  <si>
    <t>Secador (5 linhas a biomassa — ver dimensionamento)</t>
  </si>
  <si>
    <t>Obra civil, galpão e instalação</t>
  </si>
  <si>
    <t>Equip. auxiliares (aditivação, granulação, ensacadora)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</si>
</sst>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%"/>
    <numFmt numFmtId="166" formatCode="&quot;R$&quot;\ #,##0.00"/>
    <numFmt numFmtId="167" formatCode="&quot;R$&quot;\ #,##0"/>
    <numFmt numFmtId="168" formatCode="&quot;R$&quot;\ #,##0;\(&quot;R$&quot;\ #,##0\)"/>
    <numFmt numFmtId="169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u/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3" fontId="1" fillId="2" borderId="0" xfId="0" applyNumberFormat="1" applyFont="1" applyFill="1"/>
    <xf numFmtId="1" fontId="1" fillId="2" borderId="0" xfId="0" applyNumberFormat="1" applyFont="1" applyFill="1"/>
    <xf numFmtId="165" fontId="1" fillId="2" borderId="0" xfId="0" applyNumberFormat="1" applyFont="1" applyFill="1"/>
    <xf numFmtId="2" fontId="1" fillId="0" borderId="0" xfId="0" applyNumberFormat="1" applyFont="1"/>
    <xf numFmtId="166" fontId="1" fillId="2" borderId="0" xfId="0" applyNumberFormat="1" applyFont="1" applyFill="1"/>
    <xf numFmtId="166" fontId="1" fillId="0" borderId="0" xfId="0" applyNumberFormat="1" applyFont="1"/>
    <xf numFmtId="167" fontId="1" fillId="2" borderId="0" xfId="0" applyNumberFormat="1" applyFont="1" applyFill="1"/>
    <xf numFmtId="167" fontId="1" fillId="0" borderId="0" xfId="0" applyNumberFormat="1" applyFont="1"/>
    <xf numFmtId="168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4" fontId="0" fillId="2" borderId="0" xfId="0" applyNumberFormat="1" applyFill="1"/>
    <xf numFmtId="0" fontId="2" fillId="0" borderId="0" xfId="0" applyFont="1"/>
    <xf numFmtId="1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169" fontId="0" fillId="0" borderId="0" xfId="0" applyNumberFormat="1"/>
    <xf numFmtId="169" fontId="0" fillId="2" borderId="0" xfId="0" applyNumberFormat="1" applyFill="1"/>
    <xf numFmtId="167" fontId="0" fillId="2" borderId="0" xfId="0" applyNumberFormat="1" applyFill="1"/>
    <xf numFmtId="167" fontId="0" fillId="0" borderId="0" xfId="0" applyNumberFormat="1"/>
    <xf numFmtId="167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72CEB3-0024-4720-9B16-A8513903024A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1f939a07-f2b5-4a05-b3b1-062719a7cf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A7FE-5F8F-437B-9BA1-A547C1B14CA5}">
  <dimension ref="A1:I59"/>
  <sheetViews>
    <sheetView zoomScale="68" zoomScaleNormal="67" workbookViewId="0">
      <selection activeCell="E2" sqref="E2"/>
    </sheetView>
  </sheetViews>
  <sheetFormatPr defaultRowHeight="14.4" outlineLevelCol="3" x14ac:dyDescent="0.3"/>
  <cols>
    <col min="1" max="1" width="48.109375" customWidth="1"/>
    <col min="2" max="2" width="38.88671875" customWidth="1"/>
    <col min="3" max="3" width="14.44140625" customWidth="1"/>
    <col min="4" max="6" width="15.5546875" customWidth="1"/>
    <col min="7" max="7" width="15.5546875" customWidth="1" outlineLevel="3" collapsed="1"/>
    <col min="8" max="9" width="15.5546875" customWidth="1"/>
  </cols>
  <sheetData>
    <row r="1" spans="1:9" x14ac:dyDescent="0.3">
      <c r="A1" t="s">
        <v>110</v>
      </c>
      <c r="B1" s="1" t="s">
        <v>29</v>
      </c>
      <c r="C1" s="1"/>
      <c r="D1" s="1"/>
      <c r="E1" s="1"/>
      <c r="F1" s="1"/>
      <c r="G1" s="1"/>
      <c r="H1" s="1"/>
      <c r="I1" s="1"/>
    </row>
    <row r="2" spans="1:9" x14ac:dyDescent="0.3">
      <c r="B2" s="1"/>
      <c r="C2" s="1" t="s">
        <v>20</v>
      </c>
      <c r="D2" s="4">
        <v>2026</v>
      </c>
      <c r="E2" s="4">
        <f>D2+1</f>
        <v>2027</v>
      </c>
      <c r="F2" s="4">
        <f>E2+1</f>
        <v>2028</v>
      </c>
      <c r="G2" s="4">
        <f>F2+1</f>
        <v>2029</v>
      </c>
      <c r="H2" s="4">
        <f>G2+1</f>
        <v>2030</v>
      </c>
      <c r="I2" s="4">
        <f>H2+1</f>
        <v>2031</v>
      </c>
    </row>
    <row r="3" spans="1:9" x14ac:dyDescent="0.3">
      <c r="B3" s="1" t="s">
        <v>30</v>
      </c>
      <c r="C3" s="1"/>
      <c r="D3" s="1"/>
      <c r="E3" s="1"/>
      <c r="F3" s="1"/>
      <c r="G3" s="1"/>
      <c r="H3" s="1"/>
      <c r="I3" s="1"/>
    </row>
    <row r="4" spans="1:9" x14ac:dyDescent="0.3">
      <c r="B4" s="1" t="s">
        <v>31</v>
      </c>
      <c r="C4" s="1" t="s">
        <v>32</v>
      </c>
      <c r="D4" s="8">
        <v>4.4999999999999998E-2</v>
      </c>
      <c r="E4" s="5">
        <f t="shared" ref="E4:E10" si="0">D4</f>
        <v>4.4999999999999998E-2</v>
      </c>
      <c r="F4" s="5">
        <f t="shared" ref="F4:I4" si="1">E4</f>
        <v>4.4999999999999998E-2</v>
      </c>
      <c r="G4" s="5">
        <f t="shared" si="1"/>
        <v>4.4999999999999998E-2</v>
      </c>
      <c r="H4" s="5">
        <f t="shared" si="1"/>
        <v>4.4999999999999998E-2</v>
      </c>
      <c r="I4" s="5">
        <f t="shared" si="1"/>
        <v>4.4999999999999998E-2</v>
      </c>
    </row>
    <row r="5" spans="1:9" x14ac:dyDescent="0.3">
      <c r="B5" s="1" t="s">
        <v>105</v>
      </c>
      <c r="C5" s="1" t="s">
        <v>106</v>
      </c>
      <c r="D5" s="6">
        <v>550</v>
      </c>
      <c r="E5" s="2">
        <f t="shared" si="0"/>
        <v>550</v>
      </c>
      <c r="F5" s="2">
        <f t="shared" ref="F5:I5" si="2">E5</f>
        <v>550</v>
      </c>
      <c r="G5" s="2">
        <f t="shared" si="2"/>
        <v>550</v>
      </c>
      <c r="H5" s="2">
        <f t="shared" si="2"/>
        <v>550</v>
      </c>
      <c r="I5" s="2">
        <f t="shared" si="2"/>
        <v>550</v>
      </c>
    </row>
    <row r="6" spans="1:9" x14ac:dyDescent="0.3">
      <c r="B6" s="1" t="s">
        <v>107</v>
      </c>
      <c r="C6" s="1" t="s">
        <v>106</v>
      </c>
      <c r="D6" s="6">
        <v>440</v>
      </c>
      <c r="E6" s="3">
        <f t="shared" si="0"/>
        <v>440</v>
      </c>
      <c r="F6" s="3">
        <f t="shared" ref="F6:I6" si="3">E6</f>
        <v>440</v>
      </c>
      <c r="G6" s="3">
        <f t="shared" si="3"/>
        <v>440</v>
      </c>
      <c r="H6" s="3">
        <f t="shared" si="3"/>
        <v>440</v>
      </c>
      <c r="I6" s="3">
        <f t="shared" si="3"/>
        <v>440</v>
      </c>
    </row>
    <row r="7" spans="1:9" x14ac:dyDescent="0.3">
      <c r="B7" s="1" t="s">
        <v>0</v>
      </c>
      <c r="C7" s="1" t="s">
        <v>1</v>
      </c>
      <c r="D7" s="7">
        <v>365</v>
      </c>
      <c r="E7" s="4">
        <f t="shared" si="0"/>
        <v>365</v>
      </c>
      <c r="F7" s="4">
        <f t="shared" ref="F7:I7" si="4">E7</f>
        <v>365</v>
      </c>
      <c r="G7" s="4">
        <f t="shared" si="4"/>
        <v>365</v>
      </c>
      <c r="H7" s="4">
        <f t="shared" si="4"/>
        <v>365</v>
      </c>
      <c r="I7" s="4">
        <f t="shared" si="4"/>
        <v>365</v>
      </c>
    </row>
    <row r="8" spans="1:9" x14ac:dyDescent="0.3">
      <c r="B8" s="1" t="s">
        <v>33</v>
      </c>
      <c r="C8" s="1" t="s">
        <v>4</v>
      </c>
      <c r="D8" s="8">
        <v>0.7</v>
      </c>
      <c r="E8" s="5">
        <f t="shared" si="0"/>
        <v>0.7</v>
      </c>
      <c r="F8" s="5">
        <f t="shared" ref="F8:I8" si="5">E8</f>
        <v>0.7</v>
      </c>
      <c r="G8" s="5">
        <f t="shared" si="5"/>
        <v>0.7</v>
      </c>
      <c r="H8" s="5">
        <f t="shared" si="5"/>
        <v>0.7</v>
      </c>
      <c r="I8" s="5">
        <f t="shared" si="5"/>
        <v>0.7</v>
      </c>
    </row>
    <row r="9" spans="1:9" x14ac:dyDescent="0.3">
      <c r="B9" s="1" t="s">
        <v>5</v>
      </c>
      <c r="C9" s="1" t="s">
        <v>4</v>
      </c>
      <c r="D9" s="8">
        <v>0.2</v>
      </c>
      <c r="E9" s="5">
        <f t="shared" si="0"/>
        <v>0.2</v>
      </c>
      <c r="F9" s="5">
        <f t="shared" ref="F9:I9" si="6">E9</f>
        <v>0.2</v>
      </c>
      <c r="G9" s="5">
        <f t="shared" si="6"/>
        <v>0.2</v>
      </c>
      <c r="H9" s="5">
        <f t="shared" si="6"/>
        <v>0.2</v>
      </c>
      <c r="I9" s="5">
        <f t="shared" si="6"/>
        <v>0.2</v>
      </c>
    </row>
    <row r="10" spans="1:9" x14ac:dyDescent="0.3">
      <c r="B10" s="1" t="s">
        <v>108</v>
      </c>
      <c r="C10" s="1" t="s">
        <v>3</v>
      </c>
      <c r="D10" s="6">
        <v>120000</v>
      </c>
      <c r="E10" s="5">
        <f t="shared" si="0"/>
        <v>120000</v>
      </c>
      <c r="F10" s="5">
        <f t="shared" ref="F10:I10" si="7">E10</f>
        <v>120000</v>
      </c>
      <c r="G10" s="5">
        <f t="shared" si="7"/>
        <v>120000</v>
      </c>
      <c r="H10" s="5">
        <f t="shared" si="7"/>
        <v>120000</v>
      </c>
      <c r="I10" s="5">
        <f t="shared" si="7"/>
        <v>120000</v>
      </c>
    </row>
    <row r="11" spans="1:9" x14ac:dyDescent="0.3">
      <c r="B11" s="1" t="s">
        <v>34</v>
      </c>
      <c r="C11" s="1" t="s">
        <v>9</v>
      </c>
      <c r="D11" s="12">
        <v>360</v>
      </c>
      <c r="E11" s="13">
        <f>D11*(1+E$4)</f>
        <v>376.2</v>
      </c>
      <c r="F11" s="13">
        <f t="shared" ref="F11:I11" si="8">E11*(1+F$4)</f>
        <v>393.12899999999996</v>
      </c>
      <c r="G11" s="13">
        <f t="shared" si="8"/>
        <v>410.81980499999992</v>
      </c>
      <c r="H11" s="13">
        <f t="shared" si="8"/>
        <v>429.30669622499988</v>
      </c>
      <c r="I11" s="13">
        <f t="shared" si="8"/>
        <v>448.62549755512487</v>
      </c>
    </row>
    <row r="12" spans="1:9" x14ac:dyDescent="0.3">
      <c r="B12" s="1" t="s">
        <v>35</v>
      </c>
      <c r="C12" s="1" t="s">
        <v>4</v>
      </c>
      <c r="D12" s="8">
        <v>0.08</v>
      </c>
      <c r="E12" s="5">
        <f>D12</f>
        <v>0.08</v>
      </c>
      <c r="F12" s="5">
        <f t="shared" ref="F12:I12" si="9">E12</f>
        <v>0.08</v>
      </c>
      <c r="G12" s="5">
        <f t="shared" si="9"/>
        <v>0.08</v>
      </c>
      <c r="H12" s="5">
        <f t="shared" si="9"/>
        <v>0.08</v>
      </c>
      <c r="I12" s="5">
        <f t="shared" si="9"/>
        <v>0.08</v>
      </c>
    </row>
    <row r="13" spans="1:9" x14ac:dyDescent="0.3">
      <c r="B13" s="1" t="s">
        <v>111</v>
      </c>
      <c r="C13" s="1" t="s">
        <v>112</v>
      </c>
      <c r="D13" s="12">
        <v>117</v>
      </c>
      <c r="E13" s="13">
        <f>D13*(1+E$4)</f>
        <v>122.26499999999999</v>
      </c>
      <c r="F13" s="13">
        <f t="shared" ref="F13:I13" si="10">E13*(1+F$4)</f>
        <v>127.76692499999997</v>
      </c>
      <c r="G13" s="13">
        <f t="shared" si="10"/>
        <v>133.51643662499995</v>
      </c>
      <c r="H13" s="13">
        <f t="shared" si="10"/>
        <v>139.52467627312495</v>
      </c>
      <c r="I13" s="13">
        <f t="shared" si="10"/>
        <v>145.80328670541556</v>
      </c>
    </row>
    <row r="14" spans="1:9" x14ac:dyDescent="0.3">
      <c r="B14" s="1" t="s">
        <v>36</v>
      </c>
      <c r="C14" s="1" t="s">
        <v>37</v>
      </c>
      <c r="D14" s="12">
        <v>30</v>
      </c>
      <c r="E14" s="13">
        <f>D14*(1+E$4)</f>
        <v>31.349999999999998</v>
      </c>
      <c r="F14" s="13">
        <f t="shared" ref="F14:I14" si="11">E14*(1+F$4)</f>
        <v>32.760749999999994</v>
      </c>
      <c r="G14" s="13">
        <f t="shared" si="11"/>
        <v>34.234983749999991</v>
      </c>
      <c r="H14" s="13">
        <f t="shared" si="11"/>
        <v>35.77555801874999</v>
      </c>
      <c r="I14" s="13">
        <f t="shared" si="11"/>
        <v>37.385458129593736</v>
      </c>
    </row>
    <row r="15" spans="1:9" x14ac:dyDescent="0.3">
      <c r="B15" s="1" t="s">
        <v>38</v>
      </c>
      <c r="C15" s="1" t="s">
        <v>39</v>
      </c>
      <c r="D15" s="12">
        <v>25</v>
      </c>
      <c r="E15" s="13">
        <f>D15*(1+E$4)</f>
        <v>26.125</v>
      </c>
      <c r="F15" s="13">
        <f t="shared" ref="F15:I15" si="12">E15*(1+F$4)</f>
        <v>27.300624999999997</v>
      </c>
      <c r="G15" s="13">
        <f t="shared" si="12"/>
        <v>28.529153124999993</v>
      </c>
      <c r="H15" s="13">
        <f t="shared" si="12"/>
        <v>29.812965015624989</v>
      </c>
      <c r="I15" s="13">
        <f t="shared" si="12"/>
        <v>31.15454844132811</v>
      </c>
    </row>
    <row r="16" spans="1:9" x14ac:dyDescent="0.3">
      <c r="B16" s="1" t="s">
        <v>113</v>
      </c>
      <c r="C16" s="1" t="s">
        <v>40</v>
      </c>
      <c r="D16" s="7">
        <v>20</v>
      </c>
      <c r="E16" s="4">
        <f>D16</f>
        <v>20</v>
      </c>
      <c r="F16" s="4">
        <f t="shared" ref="F16:I16" si="13">E16</f>
        <v>20</v>
      </c>
      <c r="G16" s="4">
        <f t="shared" si="13"/>
        <v>20</v>
      </c>
      <c r="H16" s="4">
        <f t="shared" si="13"/>
        <v>20</v>
      </c>
      <c r="I16" s="4">
        <f t="shared" si="13"/>
        <v>20</v>
      </c>
    </row>
    <row r="17" spans="2:9" x14ac:dyDescent="0.3">
      <c r="B17" s="1" t="s">
        <v>41</v>
      </c>
      <c r="C17" s="1" t="s">
        <v>21</v>
      </c>
      <c r="D17" s="12">
        <v>4000</v>
      </c>
      <c r="E17" s="13">
        <f>D17*(1+E$4)</f>
        <v>4180</v>
      </c>
      <c r="F17" s="13">
        <f t="shared" ref="F17:I17" si="14">E17*(1+F$4)</f>
        <v>4368.0999999999995</v>
      </c>
      <c r="G17" s="13">
        <f t="shared" si="14"/>
        <v>4564.664499999999</v>
      </c>
      <c r="H17" s="13">
        <f t="shared" si="14"/>
        <v>4770.0744024999985</v>
      </c>
      <c r="I17" s="13">
        <f t="shared" si="14"/>
        <v>4984.7277506124983</v>
      </c>
    </row>
    <row r="18" spans="2:9" x14ac:dyDescent="0.3">
      <c r="B18" s="1" t="s">
        <v>42</v>
      </c>
      <c r="C18" s="1" t="s">
        <v>4</v>
      </c>
      <c r="D18" s="8">
        <v>0.8</v>
      </c>
      <c r="E18" s="5">
        <f>D18</f>
        <v>0.8</v>
      </c>
      <c r="F18" s="5">
        <f t="shared" ref="F18:I18" si="15">E18</f>
        <v>0.8</v>
      </c>
      <c r="G18" s="5">
        <f t="shared" si="15"/>
        <v>0.8</v>
      </c>
      <c r="H18" s="5">
        <f t="shared" si="15"/>
        <v>0.8</v>
      </c>
      <c r="I18" s="5">
        <f t="shared" si="15"/>
        <v>0.8</v>
      </c>
    </row>
    <row r="19" spans="2:9" x14ac:dyDescent="0.3">
      <c r="B19" s="1" t="s">
        <v>43</v>
      </c>
      <c r="C19" s="1" t="s">
        <v>4</v>
      </c>
      <c r="D19" s="8">
        <v>0.04</v>
      </c>
      <c r="E19" s="5">
        <f>D19</f>
        <v>0.04</v>
      </c>
      <c r="F19" s="5">
        <f t="shared" ref="F19:I19" si="16">E19</f>
        <v>0.04</v>
      </c>
      <c r="G19" s="5">
        <f t="shared" si="16"/>
        <v>0.04</v>
      </c>
      <c r="H19" s="5">
        <f t="shared" si="16"/>
        <v>0.04</v>
      </c>
      <c r="I19" s="5">
        <f t="shared" si="16"/>
        <v>0.04</v>
      </c>
    </row>
    <row r="20" spans="2:9" x14ac:dyDescent="0.3">
      <c r="B20" s="1" t="s">
        <v>44</v>
      </c>
      <c r="C20" s="1" t="s">
        <v>7</v>
      </c>
      <c r="D20" s="10">
        <v>0.45</v>
      </c>
      <c r="E20" s="11">
        <f>D20*(1+E$4)</f>
        <v>0.47025</v>
      </c>
      <c r="F20" s="11">
        <f t="shared" ref="F20:I20" si="17">E20*(1+F$4)</f>
        <v>0.49141124999999997</v>
      </c>
      <c r="G20" s="11">
        <f t="shared" si="17"/>
        <v>0.51352475624999994</v>
      </c>
      <c r="H20" s="11">
        <f t="shared" si="17"/>
        <v>0.53663337028124991</v>
      </c>
      <c r="I20" s="11">
        <f t="shared" si="17"/>
        <v>0.56078187194390616</v>
      </c>
    </row>
    <row r="21" spans="2:9" x14ac:dyDescent="0.3">
      <c r="B21" s="1" t="s">
        <v>45</v>
      </c>
      <c r="C21" s="1" t="s">
        <v>8</v>
      </c>
      <c r="D21" s="7">
        <v>0</v>
      </c>
      <c r="E21" s="4">
        <f>D21</f>
        <v>0</v>
      </c>
      <c r="F21" s="4">
        <f t="shared" ref="F21:I21" si="18">E21</f>
        <v>0</v>
      </c>
      <c r="G21" s="4">
        <f t="shared" si="18"/>
        <v>0</v>
      </c>
      <c r="H21" s="4">
        <f t="shared" si="18"/>
        <v>0</v>
      </c>
      <c r="I21" s="4">
        <f t="shared" si="18"/>
        <v>0</v>
      </c>
    </row>
    <row r="22" spans="2:9" x14ac:dyDescent="0.3">
      <c r="B22" s="1" t="s">
        <v>46</v>
      </c>
      <c r="C22" s="1" t="s">
        <v>4</v>
      </c>
      <c r="D22" s="8">
        <v>0</v>
      </c>
      <c r="E22" s="5">
        <f>D22</f>
        <v>0</v>
      </c>
      <c r="F22" s="5">
        <f t="shared" ref="F22:I22" si="19">E22</f>
        <v>0</v>
      </c>
      <c r="G22" s="5">
        <f t="shared" si="19"/>
        <v>0</v>
      </c>
      <c r="H22" s="5">
        <f t="shared" si="19"/>
        <v>0</v>
      </c>
      <c r="I22" s="5">
        <f t="shared" si="19"/>
        <v>0</v>
      </c>
    </row>
    <row r="23" spans="2:9" x14ac:dyDescent="0.3">
      <c r="B23" s="1" t="s">
        <v>47</v>
      </c>
      <c r="C23" s="1" t="s">
        <v>9</v>
      </c>
      <c r="D23" s="12">
        <v>15</v>
      </c>
      <c r="E23" s="13">
        <f>D23*(1+E$4)</f>
        <v>15.674999999999999</v>
      </c>
      <c r="F23" s="13">
        <f t="shared" ref="F23:I23" si="20">E23*(1+F$4)</f>
        <v>16.380374999999997</v>
      </c>
      <c r="G23" s="13">
        <f t="shared" si="20"/>
        <v>17.117491874999995</v>
      </c>
      <c r="H23" s="13">
        <f t="shared" si="20"/>
        <v>17.887779009374995</v>
      </c>
      <c r="I23" s="13">
        <f t="shared" si="20"/>
        <v>18.692729064796868</v>
      </c>
    </row>
    <row r="24" spans="2:9" x14ac:dyDescent="0.3">
      <c r="B24" s="1" t="s">
        <v>48</v>
      </c>
      <c r="C24" s="1" t="s">
        <v>14</v>
      </c>
      <c r="D24" s="12">
        <v>30000</v>
      </c>
      <c r="E24" s="13">
        <f>D24*(1+E$4)</f>
        <v>31349.999999999996</v>
      </c>
      <c r="F24" s="13">
        <f t="shared" ref="F24:I24" si="21">E24*(1+F$4)</f>
        <v>32760.749999999993</v>
      </c>
      <c r="G24" s="13">
        <f t="shared" si="21"/>
        <v>34234.983749999992</v>
      </c>
      <c r="H24" s="13">
        <f t="shared" si="21"/>
        <v>35775.558018749987</v>
      </c>
      <c r="I24" s="13">
        <f t="shared" si="21"/>
        <v>37385.458129593731</v>
      </c>
    </row>
    <row r="25" spans="2:9" x14ac:dyDescent="0.3">
      <c r="B25" s="1" t="s">
        <v>49</v>
      </c>
      <c r="C25" s="1" t="s">
        <v>4</v>
      </c>
      <c r="D25" s="8">
        <v>0.34</v>
      </c>
      <c r="E25" s="5">
        <f>D25</f>
        <v>0.34</v>
      </c>
      <c r="F25" s="5">
        <f t="shared" ref="F25:I25" si="22">E25</f>
        <v>0.34</v>
      </c>
      <c r="G25" s="5">
        <f t="shared" si="22"/>
        <v>0.34</v>
      </c>
      <c r="H25" s="5">
        <f t="shared" si="22"/>
        <v>0.34</v>
      </c>
      <c r="I25" s="5">
        <f t="shared" si="22"/>
        <v>0.34</v>
      </c>
    </row>
    <row r="26" spans="2:9" x14ac:dyDescent="0.3">
      <c r="B26" s="1" t="s">
        <v>50</v>
      </c>
      <c r="C26" s="1"/>
      <c r="D26" s="1"/>
      <c r="E26" s="1"/>
      <c r="F26" s="1"/>
      <c r="G26" s="1"/>
      <c r="H26" s="1"/>
      <c r="I26" s="1"/>
    </row>
    <row r="27" spans="2:9" x14ac:dyDescent="0.3">
      <c r="B27" s="1" t="s">
        <v>2</v>
      </c>
      <c r="C27" s="1" t="s">
        <v>3</v>
      </c>
      <c r="D27" s="2">
        <f>(D5+D6)*D7</f>
        <v>361350</v>
      </c>
      <c r="E27" s="2">
        <f t="shared" ref="E27:I27" si="23">(E5+E6)*E7</f>
        <v>361350</v>
      </c>
      <c r="F27" s="2">
        <f t="shared" si="23"/>
        <v>361350</v>
      </c>
      <c r="G27" s="2">
        <f t="shared" si="23"/>
        <v>361350</v>
      </c>
      <c r="H27" s="2">
        <f t="shared" si="23"/>
        <v>361350</v>
      </c>
      <c r="I27" s="2">
        <f t="shared" si="23"/>
        <v>361350</v>
      </c>
    </row>
    <row r="28" spans="2:9" x14ac:dyDescent="0.3">
      <c r="B28" s="1" t="s">
        <v>51</v>
      </c>
      <c r="C28" s="1" t="s">
        <v>52</v>
      </c>
      <c r="D28" s="9">
        <f>(1-D8)/(1-D9)</f>
        <v>0.37500000000000006</v>
      </c>
      <c r="E28" s="9">
        <f t="shared" ref="E28:I28" si="24">(1-E8)/(1-E9)</f>
        <v>0.37500000000000006</v>
      </c>
      <c r="F28" s="9">
        <f t="shared" si="24"/>
        <v>0.37500000000000006</v>
      </c>
      <c r="G28" s="9">
        <f t="shared" si="24"/>
        <v>0.37500000000000006</v>
      </c>
      <c r="H28" s="9">
        <f t="shared" si="24"/>
        <v>0.37500000000000006</v>
      </c>
      <c r="I28" s="9">
        <f t="shared" si="24"/>
        <v>0.37500000000000006</v>
      </c>
    </row>
    <row r="29" spans="2:9" x14ac:dyDescent="0.3">
      <c r="B29" s="1" t="s">
        <v>6</v>
      </c>
      <c r="C29" s="1" t="s">
        <v>3</v>
      </c>
      <c r="D29" s="2">
        <f>D27*D28</f>
        <v>135506.25000000003</v>
      </c>
      <c r="E29" s="2">
        <f t="shared" ref="E29:I29" si="25">E27*E28</f>
        <v>135506.25000000003</v>
      </c>
      <c r="F29" s="2">
        <f t="shared" si="25"/>
        <v>135506.25000000003</v>
      </c>
      <c r="G29" s="2">
        <f t="shared" si="25"/>
        <v>135506.25000000003</v>
      </c>
      <c r="H29" s="2">
        <f t="shared" si="25"/>
        <v>135506.25000000003</v>
      </c>
      <c r="I29" s="2">
        <f t="shared" si="25"/>
        <v>135506.25000000003</v>
      </c>
    </row>
    <row r="30" spans="2:9" x14ac:dyDescent="0.3">
      <c r="B30" s="1" t="s">
        <v>53</v>
      </c>
      <c r="C30" s="1" t="s">
        <v>3</v>
      </c>
      <c r="D30" s="2">
        <f>MIN(D29,D10)</f>
        <v>120000</v>
      </c>
      <c r="E30" s="2">
        <f t="shared" ref="E30:I30" si="26">MIN(E29,E10)</f>
        <v>120000</v>
      </c>
      <c r="F30" s="2">
        <f t="shared" si="26"/>
        <v>120000</v>
      </c>
      <c r="G30" s="2">
        <f t="shared" si="26"/>
        <v>120000</v>
      </c>
      <c r="H30" s="2">
        <f t="shared" si="26"/>
        <v>120000</v>
      </c>
      <c r="I30" s="2">
        <f t="shared" si="26"/>
        <v>120000</v>
      </c>
    </row>
    <row r="31" spans="2:9" x14ac:dyDescent="0.3">
      <c r="B31" s="1" t="s">
        <v>54</v>
      </c>
      <c r="C31" s="1" t="s">
        <v>3</v>
      </c>
      <c r="D31" s="2">
        <f>D27-D29</f>
        <v>225843.74999999997</v>
      </c>
      <c r="E31" s="2">
        <f t="shared" ref="E31:I31" si="27">E27-E29</f>
        <v>225843.74999999997</v>
      </c>
      <c r="F31" s="2">
        <f t="shared" si="27"/>
        <v>225843.74999999997</v>
      </c>
      <c r="G31" s="2">
        <f t="shared" si="27"/>
        <v>225843.74999999997</v>
      </c>
      <c r="H31" s="2">
        <f t="shared" si="27"/>
        <v>225843.74999999997</v>
      </c>
      <c r="I31" s="2">
        <f t="shared" si="27"/>
        <v>225843.74999999997</v>
      </c>
    </row>
    <row r="32" spans="2:9" x14ac:dyDescent="0.3">
      <c r="B32" s="1"/>
      <c r="C32" s="1"/>
      <c r="D32" s="1"/>
      <c r="E32" s="1"/>
      <c r="F32" s="1"/>
      <c r="G32" s="1"/>
      <c r="H32" s="1"/>
      <c r="I32" s="1"/>
    </row>
    <row r="33" spans="2:9" x14ac:dyDescent="0.3">
      <c r="B33" s="1" t="s">
        <v>55</v>
      </c>
      <c r="C33" s="1"/>
      <c r="D33" s="1"/>
      <c r="E33" s="1"/>
      <c r="F33" s="1"/>
      <c r="G33" s="1"/>
      <c r="H33" s="1"/>
      <c r="I33" s="1"/>
    </row>
    <row r="34" spans="2:9" x14ac:dyDescent="0.3">
      <c r="B34" s="1" t="s">
        <v>56</v>
      </c>
      <c r="C34" s="1" t="s">
        <v>21</v>
      </c>
      <c r="D34" s="13">
        <f>D30*D11</f>
        <v>43200000</v>
      </c>
      <c r="E34" s="13">
        <f t="shared" ref="E34:I34" si="28">E30*E11</f>
        <v>45144000</v>
      </c>
      <c r="F34" s="13">
        <f t="shared" si="28"/>
        <v>47175479.999999993</v>
      </c>
      <c r="G34" s="13">
        <f t="shared" si="28"/>
        <v>49298376.599999987</v>
      </c>
      <c r="H34" s="13">
        <f t="shared" si="28"/>
        <v>51516803.546999983</v>
      </c>
      <c r="I34" s="13">
        <f t="shared" si="28"/>
        <v>53835059.706614986</v>
      </c>
    </row>
    <row r="35" spans="2:9" x14ac:dyDescent="0.3">
      <c r="B35" s="1" t="s">
        <v>57</v>
      </c>
      <c r="C35" s="1" t="s">
        <v>21</v>
      </c>
      <c r="D35" s="13">
        <f>D34*D12</f>
        <v>3456000</v>
      </c>
      <c r="E35" s="13">
        <f t="shared" ref="E35:I35" si="29">E34*E12</f>
        <v>3611520</v>
      </c>
      <c r="F35" s="13">
        <f t="shared" si="29"/>
        <v>3774038.3999999994</v>
      </c>
      <c r="G35" s="13">
        <f t="shared" si="29"/>
        <v>3943870.1279999991</v>
      </c>
      <c r="H35" s="13">
        <f t="shared" si="29"/>
        <v>4121344.2837599986</v>
      </c>
      <c r="I35" s="13">
        <f t="shared" si="29"/>
        <v>4306804.7765291985</v>
      </c>
    </row>
    <row r="36" spans="2:9" x14ac:dyDescent="0.3">
      <c r="B36" s="1" t="s">
        <v>58</v>
      </c>
      <c r="C36" s="1" t="s">
        <v>21</v>
      </c>
      <c r="D36" s="13">
        <f>D34-D35</f>
        <v>39744000</v>
      </c>
      <c r="E36" s="13">
        <f t="shared" ref="E36:I36" si="30">E34-E35</f>
        <v>41532480</v>
      </c>
      <c r="F36" s="13">
        <f t="shared" si="30"/>
        <v>43401441.599999994</v>
      </c>
      <c r="G36" s="13">
        <f t="shared" si="30"/>
        <v>45354506.471999988</v>
      </c>
      <c r="H36" s="13">
        <f t="shared" si="30"/>
        <v>47395459.263239987</v>
      </c>
      <c r="I36" s="13">
        <f t="shared" si="30"/>
        <v>49528254.930085786</v>
      </c>
    </row>
    <row r="37" spans="2:9" x14ac:dyDescent="0.3">
      <c r="B37" s="1" t="s">
        <v>114</v>
      </c>
      <c r="C37" s="1" t="s">
        <v>21</v>
      </c>
      <c r="D37" s="14">
        <f>D13*D31</f>
        <v>26423718.749999996</v>
      </c>
      <c r="E37" s="14">
        <f t="shared" ref="E37:I37" si="31">E13*E31</f>
        <v>27612786.093749993</v>
      </c>
      <c r="F37" s="14">
        <f t="shared" si="31"/>
        <v>28855361.46796874</v>
      </c>
      <c r="G37" s="14">
        <f t="shared" si="31"/>
        <v>30153852.73402733</v>
      </c>
      <c r="H37" s="14">
        <f t="shared" si="31"/>
        <v>31510776.107058559</v>
      </c>
      <c r="I37" s="14">
        <f t="shared" si="31"/>
        <v>32928761.031876191</v>
      </c>
    </row>
    <row r="38" spans="2:9" x14ac:dyDescent="0.3">
      <c r="B38" s="1" t="s">
        <v>59</v>
      </c>
      <c r="C38" s="1" t="s">
        <v>21</v>
      </c>
      <c r="D38" s="13">
        <f>D14*D29</f>
        <v>4065187.5000000009</v>
      </c>
      <c r="E38" s="13">
        <f t="shared" ref="E38:I38" si="32">E14*E29</f>
        <v>4248120.9375000009</v>
      </c>
      <c r="F38" s="13">
        <f t="shared" si="32"/>
        <v>4439286.3796875002</v>
      </c>
      <c r="G38" s="13">
        <f t="shared" si="32"/>
        <v>4639054.2667734371</v>
      </c>
      <c r="H38" s="13">
        <f t="shared" si="32"/>
        <v>4847811.7087782416</v>
      </c>
      <c r="I38" s="13">
        <f t="shared" si="32"/>
        <v>5065963.2356732627</v>
      </c>
    </row>
    <row r="39" spans="2:9" x14ac:dyDescent="0.3">
      <c r="B39" s="1" t="s">
        <v>60</v>
      </c>
      <c r="C39" s="1" t="s">
        <v>21</v>
      </c>
      <c r="D39" s="13">
        <f>D15*D30</f>
        <v>3000000</v>
      </c>
      <c r="E39" s="13">
        <f t="shared" ref="E39:I39" si="33">E15*E30</f>
        <v>3135000</v>
      </c>
      <c r="F39" s="13">
        <f t="shared" si="33"/>
        <v>3276074.9999999995</v>
      </c>
      <c r="G39" s="13">
        <f t="shared" si="33"/>
        <v>3423498.3749999991</v>
      </c>
      <c r="H39" s="13">
        <f t="shared" si="33"/>
        <v>3577555.801874999</v>
      </c>
      <c r="I39" s="13">
        <f t="shared" si="33"/>
        <v>3738545.812959373</v>
      </c>
    </row>
    <row r="40" spans="2:9" x14ac:dyDescent="0.3">
      <c r="B40" s="1" t="s">
        <v>61</v>
      </c>
      <c r="C40" s="1" t="s">
        <v>21</v>
      </c>
      <c r="D40" s="13">
        <f>D37+D38+D39</f>
        <v>33488906.249999996</v>
      </c>
      <c r="E40" s="13">
        <f t="shared" ref="E40:I40" si="34">E37+E38+E39</f>
        <v>34995907.031249993</v>
      </c>
      <c r="F40" s="13">
        <f t="shared" si="34"/>
        <v>36570722.847656235</v>
      </c>
      <c r="G40" s="13">
        <f t="shared" si="34"/>
        <v>38216405.375800766</v>
      </c>
      <c r="H40" s="13">
        <f t="shared" si="34"/>
        <v>39936143.617711797</v>
      </c>
      <c r="I40" s="13">
        <f t="shared" si="34"/>
        <v>41733270.080508828</v>
      </c>
    </row>
    <row r="41" spans="2:9" x14ac:dyDescent="0.3">
      <c r="B41" s="1" t="s">
        <v>62</v>
      </c>
      <c r="C41" s="1" t="s">
        <v>21</v>
      </c>
      <c r="D41" s="13">
        <f>D16*D17*12*(1+D18)</f>
        <v>1728000</v>
      </c>
      <c r="E41" s="13">
        <f t="shared" ref="E41:I41" si="35">E16*E17*12*(1+E18)</f>
        <v>1805760</v>
      </c>
      <c r="F41" s="13">
        <f t="shared" si="35"/>
        <v>1887019.1999999997</v>
      </c>
      <c r="G41" s="13">
        <f t="shared" si="35"/>
        <v>1971935.0639999995</v>
      </c>
      <c r="H41" s="13">
        <f t="shared" si="35"/>
        <v>2060672.1418799993</v>
      </c>
      <c r="I41" s="13">
        <f t="shared" si="35"/>
        <v>2153402.3882645993</v>
      </c>
    </row>
    <row r="42" spans="2:9" x14ac:dyDescent="0.3">
      <c r="B42" s="1" t="s">
        <v>63</v>
      </c>
      <c r="C42" s="1" t="s">
        <v>21</v>
      </c>
      <c r="D42" s="13">
        <f>D19*CAPEX!$D$3</f>
        <v>600000</v>
      </c>
      <c r="E42" s="13">
        <f>E19*CAPEX!$D$3</f>
        <v>600000</v>
      </c>
      <c r="F42" s="13">
        <f>F19*CAPEX!$D$3</f>
        <v>600000</v>
      </c>
      <c r="G42" s="13">
        <f>G19*CAPEX!$D$3</f>
        <v>600000</v>
      </c>
      <c r="H42" s="13">
        <f>H19*CAPEX!$D$3</f>
        <v>600000</v>
      </c>
      <c r="I42" s="13">
        <f>I19*CAPEX!$D$3</f>
        <v>600000</v>
      </c>
    </row>
    <row r="43" spans="2:9" x14ac:dyDescent="0.3">
      <c r="B43" s="1" t="s">
        <v>64</v>
      </c>
      <c r="C43" s="1" t="s">
        <v>21</v>
      </c>
      <c r="D43" s="13">
        <f>D41+D42</f>
        <v>2328000</v>
      </c>
      <c r="E43" s="13">
        <f t="shared" ref="E43:I43" si="36">E41+E42</f>
        <v>2405760</v>
      </c>
      <c r="F43" s="13">
        <f t="shared" si="36"/>
        <v>2487019.1999999997</v>
      </c>
      <c r="G43" s="13">
        <f t="shared" si="36"/>
        <v>2571935.0639999993</v>
      </c>
      <c r="H43" s="13">
        <f t="shared" si="36"/>
        <v>2660672.1418799991</v>
      </c>
      <c r="I43" s="13">
        <f t="shared" si="36"/>
        <v>2753402.3882645993</v>
      </c>
    </row>
    <row r="44" spans="2:9" x14ac:dyDescent="0.3">
      <c r="B44" s="1" t="s">
        <v>65</v>
      </c>
      <c r="C44" s="1" t="s">
        <v>21</v>
      </c>
      <c r="D44" s="13">
        <f>D36-D40-D43</f>
        <v>3927093.7500000037</v>
      </c>
      <c r="E44" s="13">
        <f t="shared" ref="E44:I44" si="37">E36-E40-E43</f>
        <v>4130812.9687500075</v>
      </c>
      <c r="F44" s="13">
        <f t="shared" si="37"/>
        <v>4343699.5523437597</v>
      </c>
      <c r="G44" s="13">
        <f t="shared" si="37"/>
        <v>4566166.0321992226</v>
      </c>
      <c r="H44" s="13">
        <f t="shared" si="37"/>
        <v>4798643.5036481908</v>
      </c>
      <c r="I44" s="13">
        <f t="shared" si="37"/>
        <v>5041582.4613123583</v>
      </c>
    </row>
    <row r="45" spans="2:9" x14ac:dyDescent="0.3">
      <c r="B45" s="1" t="s">
        <v>66</v>
      </c>
      <c r="C45" s="1" t="s">
        <v>4</v>
      </c>
      <c r="D45" s="5">
        <f>D44/D36</f>
        <v>9.8809725996376899E-2</v>
      </c>
      <c r="E45" s="5">
        <f t="shared" ref="E45:I45" si="38">E44/E36</f>
        <v>9.9459819609857336E-2</v>
      </c>
      <c r="F45" s="5">
        <f t="shared" si="38"/>
        <v>0.10008191876151322</v>
      </c>
      <c r="G45" s="5">
        <f t="shared" si="38"/>
        <v>0.10067722895448518</v>
      </c>
      <c r="H45" s="5">
        <f t="shared" si="38"/>
        <v>0.10124690378029585</v>
      </c>
      <c r="I45" s="5">
        <f t="shared" si="38"/>
        <v>0.10179204715427728</v>
      </c>
    </row>
    <row r="46" spans="2:9" x14ac:dyDescent="0.3">
      <c r="B46" s="1" t="s">
        <v>67</v>
      </c>
      <c r="C46" s="1" t="s">
        <v>21</v>
      </c>
      <c r="D46" s="13">
        <f>D31*D20*D21</f>
        <v>0</v>
      </c>
      <c r="E46" s="13">
        <f t="shared" ref="E46:I46" si="39">E31*E20*E21</f>
        <v>0</v>
      </c>
      <c r="F46" s="13">
        <f t="shared" si="39"/>
        <v>0</v>
      </c>
      <c r="G46" s="13">
        <f t="shared" si="39"/>
        <v>0</v>
      </c>
      <c r="H46" s="13">
        <f t="shared" si="39"/>
        <v>0</v>
      </c>
      <c r="I46" s="13">
        <f t="shared" si="39"/>
        <v>0</v>
      </c>
    </row>
    <row r="47" spans="2:9" x14ac:dyDescent="0.3">
      <c r="B47" s="1" t="s">
        <v>68</v>
      </c>
      <c r="C47" s="1" t="s">
        <v>21</v>
      </c>
      <c r="D47" s="13">
        <f>D27*D22*D23</f>
        <v>0</v>
      </c>
      <c r="E47" s="13">
        <f t="shared" ref="E47:I47" si="40">E27*E22*E23</f>
        <v>0</v>
      </c>
      <c r="F47" s="13">
        <f t="shared" si="40"/>
        <v>0</v>
      </c>
      <c r="G47" s="13">
        <f t="shared" si="40"/>
        <v>0</v>
      </c>
      <c r="H47" s="13">
        <f t="shared" si="40"/>
        <v>0</v>
      </c>
      <c r="I47" s="13">
        <f t="shared" si="40"/>
        <v>0</v>
      </c>
    </row>
    <row r="48" spans="2:9" x14ac:dyDescent="0.3">
      <c r="B48" s="1" t="s">
        <v>69</v>
      </c>
      <c r="C48" s="1" t="s">
        <v>21</v>
      </c>
      <c r="D48" s="13">
        <f>D46+D47</f>
        <v>0</v>
      </c>
      <c r="E48" s="13">
        <f t="shared" ref="E48:I48" si="41">E46+E47</f>
        <v>0</v>
      </c>
      <c r="F48" s="13">
        <f t="shared" si="41"/>
        <v>0</v>
      </c>
      <c r="G48" s="13">
        <f t="shared" si="41"/>
        <v>0</v>
      </c>
      <c r="H48" s="13">
        <f t="shared" si="41"/>
        <v>0</v>
      </c>
      <c r="I48" s="13">
        <f t="shared" si="41"/>
        <v>0</v>
      </c>
    </row>
    <row r="49" spans="2:9" x14ac:dyDescent="0.3">
      <c r="B49" s="1" t="s">
        <v>70</v>
      </c>
      <c r="C49" s="1" t="s">
        <v>21</v>
      </c>
      <c r="D49" s="13">
        <f>D24*12</f>
        <v>360000</v>
      </c>
      <c r="E49" s="13">
        <f t="shared" ref="E49:I49" si="42">E24*12</f>
        <v>376199.99999999994</v>
      </c>
      <c r="F49" s="13">
        <f t="shared" si="42"/>
        <v>393128.99999999988</v>
      </c>
      <c r="G49" s="13">
        <f t="shared" si="42"/>
        <v>410819.80499999993</v>
      </c>
      <c r="H49" s="13">
        <f t="shared" si="42"/>
        <v>429306.69622499985</v>
      </c>
      <c r="I49" s="13">
        <f t="shared" si="42"/>
        <v>448625.49755512481</v>
      </c>
    </row>
    <row r="50" spans="2:9" x14ac:dyDescent="0.3">
      <c r="B50" s="1" t="s">
        <v>71</v>
      </c>
      <c r="C50" s="1" t="s">
        <v>21</v>
      </c>
      <c r="D50" s="13">
        <f>D44+D48-D49</f>
        <v>3567093.7500000037</v>
      </c>
      <c r="E50" s="13">
        <f t="shared" ref="E50:I50" si="43">E44+E48-E49</f>
        <v>3754612.9687500075</v>
      </c>
      <c r="F50" s="13">
        <f t="shared" si="43"/>
        <v>3950570.5523437597</v>
      </c>
      <c r="G50" s="13">
        <f t="shared" si="43"/>
        <v>4155346.2271992229</v>
      </c>
      <c r="H50" s="13">
        <f t="shared" si="43"/>
        <v>4369336.8074231911</v>
      </c>
      <c r="I50" s="13">
        <f t="shared" si="43"/>
        <v>4592956.9637572337</v>
      </c>
    </row>
    <row r="51" spans="2:9" x14ac:dyDescent="0.3">
      <c r="B51" s="1" t="s">
        <v>72</v>
      </c>
      <c r="C51" s="1" t="s">
        <v>4</v>
      </c>
      <c r="D51" s="5">
        <f>D50/D36</f>
        <v>8.9751754981884146E-2</v>
      </c>
      <c r="E51" s="5">
        <f t="shared" ref="E51:I51" si="44">E50/E36</f>
        <v>9.0401848595364584E-2</v>
      </c>
      <c r="F51" s="5">
        <f t="shared" si="44"/>
        <v>9.1023947747020467E-2</v>
      </c>
      <c r="G51" s="5">
        <f t="shared" si="44"/>
        <v>9.1619257939992427E-2</v>
      </c>
      <c r="H51" s="5">
        <f t="shared" si="44"/>
        <v>9.2188932765803103E-2</v>
      </c>
      <c r="I51" s="5">
        <f t="shared" si="44"/>
        <v>9.273407613978453E-2</v>
      </c>
    </row>
    <row r="52" spans="2:9" x14ac:dyDescent="0.3">
      <c r="B52" s="1" t="s">
        <v>27</v>
      </c>
      <c r="C52" s="1" t="s">
        <v>21</v>
      </c>
      <c r="D52" s="13">
        <f>CAPEX!D16</f>
        <v>0</v>
      </c>
      <c r="E52" s="13">
        <f>CAPEX!E16</f>
        <v>2500000</v>
      </c>
      <c r="F52" s="13">
        <f>CAPEX!F16</f>
        <v>2500000</v>
      </c>
      <c r="G52" s="13">
        <f>CAPEX!G16</f>
        <v>2500000</v>
      </c>
      <c r="H52" s="13">
        <f>CAPEX!H16</f>
        <v>2500000</v>
      </c>
      <c r="I52" s="13">
        <f>CAPEX!I16</f>
        <v>2500000</v>
      </c>
    </row>
    <row r="53" spans="2:9" x14ac:dyDescent="0.3">
      <c r="B53" s="1" t="s">
        <v>73</v>
      </c>
      <c r="C53" s="1" t="s">
        <v>21</v>
      </c>
      <c r="D53" s="13">
        <f>D50-D52</f>
        <v>3567093.7500000037</v>
      </c>
      <c r="E53" s="13">
        <f t="shared" ref="E53:I53" si="45">E50-E52</f>
        <v>1254612.9687500075</v>
      </c>
      <c r="F53" s="13">
        <f t="shared" si="45"/>
        <v>1450570.5523437597</v>
      </c>
      <c r="G53" s="13">
        <f t="shared" si="45"/>
        <v>1655346.2271992229</v>
      </c>
      <c r="H53" s="13">
        <f t="shared" si="45"/>
        <v>1869336.8074231911</v>
      </c>
      <c r="I53" s="13">
        <f t="shared" si="45"/>
        <v>2092956.9637572337</v>
      </c>
    </row>
    <row r="54" spans="2:9" x14ac:dyDescent="0.3">
      <c r="B54" s="1" t="s">
        <v>74</v>
      </c>
      <c r="C54" s="1" t="s">
        <v>4</v>
      </c>
      <c r="D54" s="5">
        <f>D53/D36</f>
        <v>8.9751754981884146E-2</v>
      </c>
      <c r="E54" s="5">
        <f t="shared" ref="E54:I54" si="46">E53/E36</f>
        <v>3.0207995495332988E-2</v>
      </c>
      <c r="F54" s="5">
        <f t="shared" si="46"/>
        <v>3.3422174445554821E-2</v>
      </c>
      <c r="G54" s="5">
        <f t="shared" si="46"/>
        <v>3.6497943775910466E-2</v>
      </c>
      <c r="H54" s="5">
        <f t="shared" si="46"/>
        <v>3.9441263709265338E-2</v>
      </c>
      <c r="I54" s="5">
        <f t="shared" si="46"/>
        <v>4.2257837808169441E-2</v>
      </c>
    </row>
    <row r="55" spans="2:9" x14ac:dyDescent="0.3">
      <c r="B55" s="1" t="s">
        <v>75</v>
      </c>
      <c r="C55" s="1" t="s">
        <v>21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2:9" x14ac:dyDescent="0.3">
      <c r="B56" s="1" t="s">
        <v>76</v>
      </c>
      <c r="C56" s="1" t="s">
        <v>21</v>
      </c>
      <c r="D56" s="13">
        <f>D53+D55</f>
        <v>3567093.7500000037</v>
      </c>
      <c r="E56" s="13">
        <f t="shared" ref="E56:I56" si="47">E53+E55</f>
        <v>1254612.9687500075</v>
      </c>
      <c r="F56" s="13">
        <f t="shared" si="47"/>
        <v>1450570.5523437597</v>
      </c>
      <c r="G56" s="13">
        <f t="shared" si="47"/>
        <v>1655346.2271992229</v>
      </c>
      <c r="H56" s="13">
        <f t="shared" si="47"/>
        <v>1869336.8074231911</v>
      </c>
      <c r="I56" s="13">
        <f t="shared" si="47"/>
        <v>2092956.9637572337</v>
      </c>
    </row>
    <row r="57" spans="2:9" x14ac:dyDescent="0.3">
      <c r="B57" s="1" t="s">
        <v>77</v>
      </c>
      <c r="C57" s="1" t="s">
        <v>21</v>
      </c>
      <c r="D57" s="13">
        <f>IF(D56&gt;0,D25*D56,0)</f>
        <v>1212811.8750000014</v>
      </c>
      <c r="E57" s="13">
        <f t="shared" ref="E57:I57" si="48">IF(E56&gt;0,E25*E56,0)</f>
        <v>426568.40937500255</v>
      </c>
      <c r="F57" s="13">
        <f t="shared" si="48"/>
        <v>493193.98779687833</v>
      </c>
      <c r="G57" s="13">
        <f t="shared" si="48"/>
        <v>562817.71724773583</v>
      </c>
      <c r="H57" s="13">
        <f t="shared" si="48"/>
        <v>635574.51452388498</v>
      </c>
      <c r="I57" s="13">
        <f t="shared" si="48"/>
        <v>711605.36767745949</v>
      </c>
    </row>
    <row r="58" spans="2:9" x14ac:dyDescent="0.3">
      <c r="B58" s="1" t="s">
        <v>78</v>
      </c>
      <c r="C58" s="1" t="s">
        <v>21</v>
      </c>
      <c r="D58" s="13">
        <f>D56-D57</f>
        <v>2354281.8750000023</v>
      </c>
      <c r="E58" s="13">
        <f t="shared" ref="E58:I58" si="49">E56-E57</f>
        <v>828044.55937500484</v>
      </c>
      <c r="F58" s="13">
        <f t="shared" si="49"/>
        <v>957376.56454688136</v>
      </c>
      <c r="G58" s="13">
        <f t="shared" si="49"/>
        <v>1092528.5099514872</v>
      </c>
      <c r="H58" s="13">
        <f t="shared" si="49"/>
        <v>1233762.2928993062</v>
      </c>
      <c r="I58" s="13">
        <f t="shared" si="49"/>
        <v>1381351.5960797742</v>
      </c>
    </row>
    <row r="59" spans="2:9" x14ac:dyDescent="0.3">
      <c r="B59" s="1" t="s">
        <v>79</v>
      </c>
      <c r="C59" s="1" t="s">
        <v>4</v>
      </c>
      <c r="D59" s="5">
        <f>D58/D36</f>
        <v>5.9236158288043538E-2</v>
      </c>
      <c r="E59" s="5">
        <f t="shared" ref="E59:I59" si="50">E58/E36</f>
        <v>1.9937277026919772E-2</v>
      </c>
      <c r="F59" s="5">
        <f t="shared" si="50"/>
        <v>2.2058635134066182E-2</v>
      </c>
      <c r="G59" s="5">
        <f t="shared" si="50"/>
        <v>2.4088642892100907E-2</v>
      </c>
      <c r="H59" s="5">
        <f t="shared" si="50"/>
        <v>2.6031234048115127E-2</v>
      </c>
      <c r="I59" s="5">
        <f t="shared" si="50"/>
        <v>2.7890172953391832E-2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D5DF-3726-422E-9C7A-8ECC39FE79DE}">
  <dimension ref="B1:I22"/>
  <sheetViews>
    <sheetView topLeftCell="A2" zoomScale="87" workbookViewId="0">
      <selection activeCell="H12" sqref="H12"/>
    </sheetView>
  </sheetViews>
  <sheetFormatPr defaultRowHeight="14.4" x14ac:dyDescent="0.3"/>
  <cols>
    <col min="2" max="2" width="42.5546875" customWidth="1"/>
    <col min="3" max="3" width="13" customWidth="1"/>
    <col min="4" max="9" width="15.5546875" customWidth="1"/>
  </cols>
  <sheetData>
    <row r="1" spans="2:9" x14ac:dyDescent="0.3">
      <c r="B1" s="1" t="s">
        <v>109</v>
      </c>
      <c r="C1" s="1"/>
      <c r="D1" s="1"/>
      <c r="E1" s="1"/>
      <c r="F1" s="1"/>
      <c r="G1" s="1"/>
      <c r="H1" s="1"/>
      <c r="I1" s="1"/>
    </row>
    <row r="2" spans="2:9" x14ac:dyDescent="0.3">
      <c r="B2" s="1"/>
      <c r="C2" s="1" t="s">
        <v>20</v>
      </c>
      <c r="D2" s="4">
        <f>Premissas!D2</f>
        <v>2026</v>
      </c>
      <c r="E2" s="4">
        <f>D2+1</f>
        <v>2027</v>
      </c>
      <c r="F2" s="4">
        <f>E2+1</f>
        <v>2028</v>
      </c>
      <c r="G2" s="4">
        <f>F2+1</f>
        <v>2029</v>
      </c>
      <c r="H2" s="4">
        <f>G2+1</f>
        <v>2030</v>
      </c>
      <c r="I2" s="4">
        <f>H2+1</f>
        <v>2031</v>
      </c>
    </row>
    <row r="3" spans="2:9" x14ac:dyDescent="0.3">
      <c r="B3" s="1" t="s">
        <v>56</v>
      </c>
      <c r="C3" s="1" t="s">
        <v>21</v>
      </c>
      <c r="D3" s="13">
        <f>Premissas!D34</f>
        <v>43200000</v>
      </c>
      <c r="E3" s="13">
        <f>Premissas!E34</f>
        <v>45144000</v>
      </c>
      <c r="F3" s="13">
        <f>Premissas!F34</f>
        <v>47175479.999999993</v>
      </c>
      <c r="G3" s="13">
        <f>Premissas!G34</f>
        <v>49298376.599999987</v>
      </c>
      <c r="H3" s="13">
        <f>Premissas!H34</f>
        <v>51516803.546999983</v>
      </c>
      <c r="I3" s="13">
        <f>Premissas!I34</f>
        <v>53835059.706614986</v>
      </c>
    </row>
    <row r="4" spans="2:9" x14ac:dyDescent="0.3">
      <c r="B4" s="1" t="s">
        <v>80</v>
      </c>
      <c r="C4" s="1" t="s">
        <v>4</v>
      </c>
      <c r="D4" s="1"/>
      <c r="E4" s="5">
        <f>E3/D3-1</f>
        <v>4.4999999999999929E-2</v>
      </c>
      <c r="F4" s="5">
        <f t="shared" ref="F4:I4" si="0">F3/E3-1</f>
        <v>4.4999999999999929E-2</v>
      </c>
      <c r="G4" s="5">
        <f t="shared" si="0"/>
        <v>4.4999999999999929E-2</v>
      </c>
      <c r="H4" s="5">
        <f t="shared" si="0"/>
        <v>4.4999999999999929E-2</v>
      </c>
      <c r="I4" s="5">
        <f t="shared" si="0"/>
        <v>4.5000000000000151E-2</v>
      </c>
    </row>
    <row r="5" spans="2:9" x14ac:dyDescent="0.3">
      <c r="B5" s="1" t="s">
        <v>57</v>
      </c>
      <c r="C5" s="1" t="s">
        <v>21</v>
      </c>
      <c r="D5" s="13">
        <f>Premissas!D35</f>
        <v>3456000</v>
      </c>
      <c r="E5" s="13">
        <f>Premissas!E35</f>
        <v>3611520</v>
      </c>
      <c r="F5" s="13">
        <f>Premissas!F35</f>
        <v>3774038.3999999994</v>
      </c>
      <c r="G5" s="13">
        <f>Premissas!G35</f>
        <v>3943870.1279999991</v>
      </c>
      <c r="H5" s="13">
        <f>Premissas!H35</f>
        <v>4121344.2837599986</v>
      </c>
      <c r="I5" s="13">
        <f>Premissas!I35</f>
        <v>4306804.7765291985</v>
      </c>
    </row>
    <row r="6" spans="2:9" x14ac:dyDescent="0.3">
      <c r="B6" s="1" t="s">
        <v>58</v>
      </c>
      <c r="C6" s="1" t="s">
        <v>21</v>
      </c>
      <c r="D6" s="13">
        <f>Premissas!D36</f>
        <v>39744000</v>
      </c>
      <c r="E6" s="13">
        <f>Premissas!E36</f>
        <v>41532480</v>
      </c>
      <c r="F6" s="13">
        <f>Premissas!F36</f>
        <v>43401441.599999994</v>
      </c>
      <c r="G6" s="13">
        <f>Premissas!G36</f>
        <v>45354506.471999988</v>
      </c>
      <c r="H6" s="13">
        <f>Premissas!H36</f>
        <v>47395459.263239987</v>
      </c>
      <c r="I6" s="13">
        <f>Premissas!I36</f>
        <v>49528254.930085786</v>
      </c>
    </row>
    <row r="7" spans="2:9" x14ac:dyDescent="0.3">
      <c r="B7" s="1" t="s">
        <v>81</v>
      </c>
      <c r="C7" s="1" t="s">
        <v>21</v>
      </c>
      <c r="D7" s="13">
        <f>Premissas!D40</f>
        <v>33488906.249999996</v>
      </c>
      <c r="E7" s="13">
        <f>Premissas!E40</f>
        <v>34995907.031249993</v>
      </c>
      <c r="F7" s="13">
        <f>Premissas!F40</f>
        <v>36570722.847656235</v>
      </c>
      <c r="G7" s="13">
        <f>Premissas!G40</f>
        <v>38216405.375800766</v>
      </c>
      <c r="H7" s="13">
        <f>Premissas!H40</f>
        <v>39936143.617711797</v>
      </c>
      <c r="I7" s="13">
        <f>Premissas!I40</f>
        <v>41733270.080508828</v>
      </c>
    </row>
    <row r="8" spans="2:9" x14ac:dyDescent="0.3">
      <c r="B8" s="1" t="s">
        <v>82</v>
      </c>
      <c r="C8" s="1" t="s">
        <v>21</v>
      </c>
      <c r="D8" s="13">
        <f>Premissas!D43</f>
        <v>2328000</v>
      </c>
      <c r="E8" s="13">
        <f>Premissas!E43</f>
        <v>2405760</v>
      </c>
      <c r="F8" s="13">
        <f>Premissas!F43</f>
        <v>2487019.1999999997</v>
      </c>
      <c r="G8" s="13">
        <f>Premissas!G43</f>
        <v>2571935.0639999993</v>
      </c>
      <c r="H8" s="13">
        <f>Premissas!H43</f>
        <v>2660672.1418799991</v>
      </c>
      <c r="I8" s="13">
        <f>Premissas!I43</f>
        <v>2753402.3882645993</v>
      </c>
    </row>
    <row r="9" spans="2:9" x14ac:dyDescent="0.3">
      <c r="B9" s="1" t="s">
        <v>65</v>
      </c>
      <c r="C9" s="1" t="s">
        <v>21</v>
      </c>
      <c r="D9" s="13">
        <f>Premissas!D44</f>
        <v>3927093.7500000037</v>
      </c>
      <c r="E9" s="13">
        <f>Premissas!E44</f>
        <v>4130812.9687500075</v>
      </c>
      <c r="F9" s="13">
        <f>Premissas!F44</f>
        <v>4343699.5523437597</v>
      </c>
      <c r="G9" s="13">
        <f>Premissas!G44</f>
        <v>4566166.0321992226</v>
      </c>
      <c r="H9" s="13">
        <f>Premissas!H44</f>
        <v>4798643.5036481908</v>
      </c>
      <c r="I9" s="13">
        <f>Premissas!I44</f>
        <v>5041582.4613123583</v>
      </c>
    </row>
    <row r="10" spans="2:9" x14ac:dyDescent="0.3">
      <c r="B10" s="1" t="s">
        <v>66</v>
      </c>
      <c r="C10" s="1" t="s">
        <v>4</v>
      </c>
      <c r="D10" s="5">
        <f>D9/D6</f>
        <v>9.8809725996376899E-2</v>
      </c>
      <c r="E10" s="5">
        <f t="shared" ref="E10:I10" si="1">E9/E6</f>
        <v>9.9459819609857336E-2</v>
      </c>
      <c r="F10" s="5">
        <f t="shared" si="1"/>
        <v>0.10008191876151322</v>
      </c>
      <c r="G10" s="5">
        <f t="shared" si="1"/>
        <v>0.10067722895448518</v>
      </c>
      <c r="H10" s="5">
        <f t="shared" si="1"/>
        <v>0.10124690378029585</v>
      </c>
      <c r="I10" s="5">
        <f t="shared" si="1"/>
        <v>0.10179204715427728</v>
      </c>
    </row>
    <row r="11" spans="2:9" x14ac:dyDescent="0.3">
      <c r="B11" s="1" t="s">
        <v>83</v>
      </c>
      <c r="C11" s="1" t="s">
        <v>21</v>
      </c>
      <c r="D11" s="13">
        <f>Premissas!D48</f>
        <v>0</v>
      </c>
      <c r="E11" s="13">
        <f>Premissas!E48</f>
        <v>0</v>
      </c>
      <c r="F11" s="13">
        <f>Premissas!F48</f>
        <v>0</v>
      </c>
      <c r="G11" s="13">
        <f>Premissas!G48</f>
        <v>0</v>
      </c>
      <c r="H11" s="13">
        <f>Premissas!H48</f>
        <v>0</v>
      </c>
      <c r="I11" s="13">
        <f>Premissas!I48</f>
        <v>0</v>
      </c>
    </row>
    <row r="12" spans="2:9" x14ac:dyDescent="0.3">
      <c r="B12" s="1" t="s">
        <v>70</v>
      </c>
      <c r="C12" s="1" t="s">
        <v>21</v>
      </c>
      <c r="D12" s="13">
        <f>Premissas!D49</f>
        <v>360000</v>
      </c>
      <c r="E12" s="13">
        <f>Premissas!E49</f>
        <v>376199.99999999994</v>
      </c>
      <c r="F12" s="13">
        <f>Premissas!F49</f>
        <v>393128.99999999988</v>
      </c>
      <c r="G12" s="13">
        <f>Premissas!G49</f>
        <v>410819.80499999993</v>
      </c>
      <c r="H12" s="13">
        <f>Premissas!H49</f>
        <v>429306.69622499985</v>
      </c>
      <c r="I12" s="13">
        <f>Premissas!I49</f>
        <v>448625.49755512481</v>
      </c>
    </row>
    <row r="13" spans="2:9" x14ac:dyDescent="0.3">
      <c r="B13" s="1" t="s">
        <v>71</v>
      </c>
      <c r="C13" s="1" t="s">
        <v>21</v>
      </c>
      <c r="D13" s="13">
        <f>Premissas!D50</f>
        <v>3567093.7500000037</v>
      </c>
      <c r="E13" s="13">
        <f>Premissas!E50</f>
        <v>3754612.9687500075</v>
      </c>
      <c r="F13" s="13">
        <f>Premissas!F50</f>
        <v>3950570.5523437597</v>
      </c>
      <c r="G13" s="13">
        <f>Premissas!G50</f>
        <v>4155346.2271992229</v>
      </c>
      <c r="H13" s="13">
        <f>Premissas!H50</f>
        <v>4369336.8074231911</v>
      </c>
      <c r="I13" s="13">
        <f>Premissas!I50</f>
        <v>4592956.9637572337</v>
      </c>
    </row>
    <row r="14" spans="2:9" x14ac:dyDescent="0.3">
      <c r="B14" s="1" t="s">
        <v>72</v>
      </c>
      <c r="C14" s="1" t="s">
        <v>4</v>
      </c>
      <c r="D14" s="5">
        <f>D13/D6</f>
        <v>8.9751754981884146E-2</v>
      </c>
      <c r="E14" s="5">
        <f t="shared" ref="E14:I14" si="2">E13/E6</f>
        <v>9.0401848595364584E-2</v>
      </c>
      <c r="F14" s="5">
        <f t="shared" si="2"/>
        <v>9.1023947747020467E-2</v>
      </c>
      <c r="G14" s="5">
        <f t="shared" si="2"/>
        <v>9.1619257939992427E-2</v>
      </c>
      <c r="H14" s="5">
        <f t="shared" si="2"/>
        <v>9.2188932765803103E-2</v>
      </c>
      <c r="I14" s="5">
        <f t="shared" si="2"/>
        <v>9.273407613978453E-2</v>
      </c>
    </row>
    <row r="15" spans="2:9" x14ac:dyDescent="0.3">
      <c r="B15" s="1" t="s">
        <v>27</v>
      </c>
      <c r="C15" s="1" t="s">
        <v>21</v>
      </c>
      <c r="D15" s="13">
        <f>CAPEX!D16</f>
        <v>0</v>
      </c>
      <c r="E15" s="13">
        <f>CAPEX!E16</f>
        <v>2500000</v>
      </c>
      <c r="F15" s="13">
        <f>CAPEX!F16</f>
        <v>2500000</v>
      </c>
      <c r="G15" s="13">
        <f>CAPEX!G16</f>
        <v>2500000</v>
      </c>
      <c r="H15" s="13">
        <f>CAPEX!H16</f>
        <v>2500000</v>
      </c>
      <c r="I15" s="13">
        <f>CAPEX!I16</f>
        <v>2500000</v>
      </c>
    </row>
    <row r="16" spans="2:9" x14ac:dyDescent="0.3">
      <c r="B16" s="1" t="s">
        <v>73</v>
      </c>
      <c r="C16" s="1" t="s">
        <v>21</v>
      </c>
      <c r="D16" s="13">
        <f>Premissas!D53</f>
        <v>3567093.7500000037</v>
      </c>
      <c r="E16" s="13">
        <f>Premissas!E53</f>
        <v>1254612.9687500075</v>
      </c>
      <c r="F16" s="13">
        <f>Premissas!F53</f>
        <v>1450570.5523437597</v>
      </c>
      <c r="G16" s="13">
        <f>Premissas!G53</f>
        <v>1655346.2271992229</v>
      </c>
      <c r="H16" s="13">
        <f>Premissas!H53</f>
        <v>1869336.8074231911</v>
      </c>
      <c r="I16" s="13">
        <f>Premissas!I53</f>
        <v>2092956.9637572337</v>
      </c>
    </row>
    <row r="17" spans="2:9" x14ac:dyDescent="0.3">
      <c r="B17" s="1" t="s">
        <v>74</v>
      </c>
      <c r="C17" s="1" t="s">
        <v>4</v>
      </c>
      <c r="D17" s="5">
        <f>D16/D6</f>
        <v>8.9751754981884146E-2</v>
      </c>
      <c r="E17" s="5">
        <f t="shared" ref="E17:I17" si="3">E16/E6</f>
        <v>3.0207995495332988E-2</v>
      </c>
      <c r="F17" s="5">
        <f t="shared" si="3"/>
        <v>3.3422174445554821E-2</v>
      </c>
      <c r="G17" s="5">
        <f t="shared" si="3"/>
        <v>3.6497943775910466E-2</v>
      </c>
      <c r="H17" s="5">
        <f t="shared" si="3"/>
        <v>3.9441263709265338E-2</v>
      </c>
      <c r="I17" s="5">
        <f t="shared" si="3"/>
        <v>4.2257837808169441E-2</v>
      </c>
    </row>
    <row r="18" spans="2:9" x14ac:dyDescent="0.3">
      <c r="B18" s="1" t="s">
        <v>75</v>
      </c>
      <c r="C18" s="1" t="s">
        <v>21</v>
      </c>
      <c r="D18" s="13">
        <f>Premissas!D55</f>
        <v>0</v>
      </c>
      <c r="E18" s="13">
        <f>Premissas!E55</f>
        <v>0</v>
      </c>
      <c r="F18" s="13">
        <f>Premissas!F55</f>
        <v>0</v>
      </c>
      <c r="G18" s="13">
        <f>Premissas!G55</f>
        <v>0</v>
      </c>
      <c r="H18" s="13">
        <f>Premissas!H55</f>
        <v>0</v>
      </c>
      <c r="I18" s="13">
        <f>Premissas!I55</f>
        <v>0</v>
      </c>
    </row>
    <row r="19" spans="2:9" x14ac:dyDescent="0.3">
      <c r="B19" s="1" t="s">
        <v>76</v>
      </c>
      <c r="C19" s="1" t="s">
        <v>21</v>
      </c>
      <c r="D19" s="13">
        <f>Premissas!D56</f>
        <v>3567093.7500000037</v>
      </c>
      <c r="E19" s="13">
        <f>Premissas!E56</f>
        <v>1254612.9687500075</v>
      </c>
      <c r="F19" s="13">
        <f>Premissas!F56</f>
        <v>1450570.5523437597</v>
      </c>
      <c r="G19" s="13">
        <f>Premissas!G56</f>
        <v>1655346.2271992229</v>
      </c>
      <c r="H19" s="13">
        <f>Premissas!H56</f>
        <v>1869336.8074231911</v>
      </c>
      <c r="I19" s="13">
        <f>Premissas!I56</f>
        <v>2092956.9637572337</v>
      </c>
    </row>
    <row r="20" spans="2:9" x14ac:dyDescent="0.3">
      <c r="B20" s="1" t="s">
        <v>77</v>
      </c>
      <c r="C20" s="1" t="s">
        <v>21</v>
      </c>
      <c r="D20" s="13">
        <f>Premissas!D57</f>
        <v>1212811.8750000014</v>
      </c>
      <c r="E20" s="13">
        <f>Premissas!E57</f>
        <v>426568.40937500255</v>
      </c>
      <c r="F20" s="13">
        <f>Premissas!F57</f>
        <v>493193.98779687833</v>
      </c>
      <c r="G20" s="13">
        <f>Premissas!G57</f>
        <v>562817.71724773583</v>
      </c>
      <c r="H20" s="13">
        <f>Premissas!H57</f>
        <v>635574.51452388498</v>
      </c>
      <c r="I20" s="13">
        <f>Premissas!I57</f>
        <v>711605.36767745949</v>
      </c>
    </row>
    <row r="21" spans="2:9" x14ac:dyDescent="0.3">
      <c r="B21" s="1" t="s">
        <v>78</v>
      </c>
      <c r="C21" s="1" t="s">
        <v>21</v>
      </c>
      <c r="D21" s="13">
        <f>Premissas!D58</f>
        <v>2354281.8750000023</v>
      </c>
      <c r="E21" s="13">
        <f>Premissas!E58</f>
        <v>828044.55937500484</v>
      </c>
      <c r="F21" s="13">
        <f>Premissas!F58</f>
        <v>957376.56454688136</v>
      </c>
      <c r="G21" s="13">
        <f>Premissas!G58</f>
        <v>1092528.5099514872</v>
      </c>
      <c r="H21" s="13">
        <f>Premissas!H58</f>
        <v>1233762.2928993062</v>
      </c>
      <c r="I21" s="13">
        <f>Premissas!I58</f>
        <v>1381351.5960797742</v>
      </c>
    </row>
    <row r="22" spans="2:9" x14ac:dyDescent="0.3">
      <c r="B22" s="1" t="s">
        <v>79</v>
      </c>
      <c r="C22" s="1" t="s">
        <v>4</v>
      </c>
      <c r="D22" s="5">
        <f>D21/D6</f>
        <v>5.9236158288043538E-2</v>
      </c>
      <c r="E22" s="5">
        <f t="shared" ref="E22:I22" si="4">E21/E6</f>
        <v>1.9937277026919772E-2</v>
      </c>
      <c r="F22" s="5">
        <f t="shared" si="4"/>
        <v>2.2058635134066182E-2</v>
      </c>
      <c r="G22" s="5">
        <f t="shared" si="4"/>
        <v>2.4088642892100907E-2</v>
      </c>
      <c r="H22" s="5">
        <f t="shared" si="4"/>
        <v>2.6031234048115127E-2</v>
      </c>
      <c r="I22" s="5">
        <f t="shared" si="4"/>
        <v>2.7890172953391832E-2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22C8-E78E-48DF-9834-7AFABD5B537D}">
  <dimension ref="A1:N35"/>
  <sheetViews>
    <sheetView zoomScale="90" zoomScaleNormal="67" workbookViewId="0">
      <selection activeCell="D3" sqref="D3"/>
    </sheetView>
  </sheetViews>
  <sheetFormatPr defaultRowHeight="14.4" x14ac:dyDescent="0.3"/>
  <cols>
    <col min="1" max="1" width="55.5546875" customWidth="1"/>
    <col min="2" max="2" width="42.5546875" customWidth="1"/>
    <col min="3" max="3" width="13" customWidth="1"/>
    <col min="4" max="9" width="15.5546875" customWidth="1"/>
    <col min="10" max="10" width="12.6640625" bestFit="1" customWidth="1"/>
    <col min="11" max="12" width="12.5546875" bestFit="1" customWidth="1"/>
    <col min="13" max="14" width="10.88671875" bestFit="1" customWidth="1"/>
  </cols>
  <sheetData>
    <row r="1" spans="1:14" x14ac:dyDescent="0.3">
      <c r="B1" s="1" t="s">
        <v>19</v>
      </c>
      <c r="C1" s="1"/>
      <c r="D1" s="1"/>
      <c r="E1" s="1"/>
      <c r="F1" s="1"/>
      <c r="G1" s="1"/>
      <c r="H1" s="1"/>
      <c r="I1" s="1"/>
    </row>
    <row r="2" spans="1:14" x14ac:dyDescent="0.3">
      <c r="B2" s="1"/>
      <c r="C2" s="1" t="s">
        <v>20</v>
      </c>
      <c r="D2" s="4">
        <v>2026</v>
      </c>
      <c r="E2" s="4">
        <f>D2+1</f>
        <v>2027</v>
      </c>
      <c r="F2" s="4">
        <f>E2+1</f>
        <v>2028</v>
      </c>
      <c r="G2" s="4">
        <f>F2+1</f>
        <v>2029</v>
      </c>
      <c r="H2" s="4">
        <f>G2+1</f>
        <v>2030</v>
      </c>
      <c r="I2" s="4">
        <f>H2+1</f>
        <v>2031</v>
      </c>
    </row>
    <row r="3" spans="1:14" x14ac:dyDescent="0.3">
      <c r="B3" s="1" t="s">
        <v>125</v>
      </c>
      <c r="C3" s="1" t="s">
        <v>21</v>
      </c>
      <c r="D3" s="26">
        <f>D35</f>
        <v>15000000</v>
      </c>
      <c r="E3" s="1"/>
      <c r="F3" s="1"/>
      <c r="G3" s="1"/>
      <c r="H3" s="1"/>
      <c r="I3" s="1"/>
    </row>
    <row r="4" spans="1:14" x14ac:dyDescent="0.3">
      <c r="B4" s="1" t="s">
        <v>126</v>
      </c>
      <c r="C4" s="1" t="s">
        <v>21</v>
      </c>
      <c r="D4" s="12">
        <v>4000000</v>
      </c>
      <c r="E4" s="1"/>
      <c r="F4" s="1"/>
      <c r="G4" s="1"/>
      <c r="H4" s="1"/>
      <c r="I4" s="1"/>
    </row>
    <row r="5" spans="1:14" x14ac:dyDescent="0.3">
      <c r="B5" s="1" t="s">
        <v>11</v>
      </c>
      <c r="C5" s="1" t="s">
        <v>21</v>
      </c>
      <c r="D5" s="12">
        <v>500000</v>
      </c>
      <c r="E5" s="1"/>
      <c r="F5" s="1"/>
      <c r="G5" s="1"/>
      <c r="H5" s="1"/>
      <c r="I5" s="1"/>
    </row>
    <row r="6" spans="1:14" x14ac:dyDescent="0.3">
      <c r="B6" s="1" t="s">
        <v>127</v>
      </c>
      <c r="C6" s="1" t="s">
        <v>21</v>
      </c>
      <c r="D6" s="12">
        <v>3000000</v>
      </c>
      <c r="E6" s="1"/>
      <c r="F6" s="1"/>
      <c r="G6" s="1"/>
      <c r="H6" s="1"/>
      <c r="I6" s="1"/>
    </row>
    <row r="7" spans="1:14" x14ac:dyDescent="0.3">
      <c r="B7" s="1" t="s">
        <v>12</v>
      </c>
      <c r="C7" s="1" t="s">
        <v>21</v>
      </c>
      <c r="D7" s="12">
        <v>2500000</v>
      </c>
      <c r="E7" s="1"/>
      <c r="F7" s="1"/>
      <c r="G7" s="1"/>
      <c r="H7" s="1"/>
      <c r="I7" s="1"/>
    </row>
    <row r="8" spans="1:14" x14ac:dyDescent="0.3">
      <c r="B8" s="1" t="s">
        <v>13</v>
      </c>
      <c r="C8" s="1" t="s">
        <v>21</v>
      </c>
      <c r="D8" s="15">
        <f>0.1*SUM(D3:D7)</f>
        <v>2500000</v>
      </c>
      <c r="E8" s="1"/>
      <c r="F8" s="1"/>
      <c r="G8" s="1"/>
      <c r="H8" s="1"/>
      <c r="I8" s="1"/>
    </row>
    <row r="9" spans="1:14" x14ac:dyDescent="0.3">
      <c r="B9" s="1" t="s">
        <v>22</v>
      </c>
      <c r="C9" s="1" t="s">
        <v>21</v>
      </c>
      <c r="D9" s="15">
        <f>SUM(D3:D8)</f>
        <v>27500000</v>
      </c>
      <c r="E9" s="1"/>
      <c r="F9" s="1"/>
      <c r="G9" s="1"/>
      <c r="H9" s="1"/>
      <c r="I9" s="1"/>
    </row>
    <row r="10" spans="1:14" x14ac:dyDescent="0.3">
      <c r="B10" s="1" t="s">
        <v>23</v>
      </c>
      <c r="C10" s="1" t="s">
        <v>21</v>
      </c>
      <c r="D10" s="15">
        <f>D9-D7</f>
        <v>25000000</v>
      </c>
      <c r="E10" s="1"/>
      <c r="F10" s="1"/>
      <c r="G10" s="1"/>
      <c r="H10" s="1"/>
      <c r="I10" s="1"/>
    </row>
    <row r="11" spans="1:14" x14ac:dyDescent="0.3">
      <c r="B11" s="1" t="s">
        <v>24</v>
      </c>
      <c r="C11" s="1" t="s">
        <v>10</v>
      </c>
      <c r="D11" s="7">
        <v>10</v>
      </c>
      <c r="E11" s="1"/>
      <c r="F11" s="1"/>
      <c r="G11" s="1"/>
      <c r="H11" s="1"/>
      <c r="I11" s="1"/>
    </row>
    <row r="12" spans="1:14" x14ac:dyDescent="0.3">
      <c r="A12" s="18"/>
      <c r="B12" s="1"/>
      <c r="C12" s="1"/>
      <c r="D12" s="1"/>
      <c r="E12" s="1"/>
      <c r="F12" s="1"/>
      <c r="G12" s="1"/>
      <c r="H12" s="1"/>
      <c r="I12" s="1"/>
    </row>
    <row r="13" spans="1:14" x14ac:dyDescent="0.3">
      <c r="B13" s="1" t="s">
        <v>25</v>
      </c>
      <c r="C13" s="1" t="s">
        <v>20</v>
      </c>
      <c r="D13" s="4">
        <f t="shared" ref="D13:I13" si="0">D2</f>
        <v>2026</v>
      </c>
      <c r="E13" s="4">
        <f t="shared" si="0"/>
        <v>2027</v>
      </c>
      <c r="F13" s="4">
        <f t="shared" si="0"/>
        <v>2028</v>
      </c>
      <c r="G13" s="4">
        <f t="shared" si="0"/>
        <v>2029</v>
      </c>
      <c r="H13" s="4">
        <f t="shared" si="0"/>
        <v>2030</v>
      </c>
      <c r="I13" s="4">
        <f t="shared" si="0"/>
        <v>2031</v>
      </c>
      <c r="J13" s="19">
        <v>2031</v>
      </c>
      <c r="K13" s="19">
        <v>2032</v>
      </c>
      <c r="L13" s="19">
        <v>2033</v>
      </c>
      <c r="M13" s="19">
        <v>2034</v>
      </c>
      <c r="N13" s="19">
        <v>2035</v>
      </c>
    </row>
    <row r="14" spans="1:14" x14ac:dyDescent="0.3">
      <c r="B14" s="1" t="s">
        <v>26</v>
      </c>
      <c r="C14" s="1" t="s">
        <v>21</v>
      </c>
      <c r="D14" s="15">
        <v>0</v>
      </c>
      <c r="E14" s="15">
        <f t="shared" ref="E14:N14" si="1">D17</f>
        <v>25000000</v>
      </c>
      <c r="F14" s="15">
        <f t="shared" si="1"/>
        <v>22500000</v>
      </c>
      <c r="G14" s="15">
        <f t="shared" si="1"/>
        <v>20000000</v>
      </c>
      <c r="H14" s="15">
        <f t="shared" si="1"/>
        <v>17500000</v>
      </c>
      <c r="I14" s="15">
        <f t="shared" si="1"/>
        <v>15000000</v>
      </c>
      <c r="J14" s="16">
        <f t="shared" si="1"/>
        <v>12500000</v>
      </c>
      <c r="K14" s="16">
        <f t="shared" si="1"/>
        <v>10000000</v>
      </c>
      <c r="L14" s="16">
        <f t="shared" si="1"/>
        <v>7500000</v>
      </c>
      <c r="M14" s="16">
        <f t="shared" si="1"/>
        <v>5000000</v>
      </c>
      <c r="N14" s="16">
        <f t="shared" si="1"/>
        <v>2500000</v>
      </c>
    </row>
    <row r="15" spans="1:14" x14ac:dyDescent="0.3">
      <c r="B15" s="1" t="s">
        <v>104</v>
      </c>
      <c r="C15" s="1" t="s">
        <v>21</v>
      </c>
      <c r="D15" s="15">
        <f>D10</f>
        <v>25000000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6">
        <v>0</v>
      </c>
    </row>
    <row r="16" spans="1:14" x14ac:dyDescent="0.3">
      <c r="B16" s="1" t="s">
        <v>27</v>
      </c>
      <c r="C16" s="1" t="s">
        <v>21</v>
      </c>
      <c r="D16" s="15">
        <v>0</v>
      </c>
      <c r="E16" s="15">
        <f>$D$10/$D$11</f>
        <v>2500000</v>
      </c>
      <c r="F16" s="15">
        <f t="shared" ref="F16:N16" si="2">E16</f>
        <v>2500000</v>
      </c>
      <c r="G16" s="15">
        <f t="shared" si="2"/>
        <v>2500000</v>
      </c>
      <c r="H16" s="15">
        <f t="shared" si="2"/>
        <v>2500000</v>
      </c>
      <c r="I16" s="15">
        <f t="shared" si="2"/>
        <v>2500000</v>
      </c>
      <c r="J16" s="16">
        <f t="shared" si="2"/>
        <v>2500000</v>
      </c>
      <c r="K16" s="15">
        <f t="shared" si="2"/>
        <v>2500000</v>
      </c>
      <c r="L16" s="16">
        <f t="shared" si="2"/>
        <v>2500000</v>
      </c>
      <c r="M16" s="16">
        <f t="shared" si="2"/>
        <v>2500000</v>
      </c>
      <c r="N16" s="16">
        <f t="shared" si="2"/>
        <v>2500000</v>
      </c>
    </row>
    <row r="17" spans="2:14" x14ac:dyDescent="0.3">
      <c r="B17" s="1" t="s">
        <v>28</v>
      </c>
      <c r="C17" s="1" t="s">
        <v>21</v>
      </c>
      <c r="D17" s="15">
        <f t="shared" ref="D17:N17" si="3">D14+D15-D16</f>
        <v>25000000</v>
      </c>
      <c r="E17" s="15">
        <f t="shared" si="3"/>
        <v>22500000</v>
      </c>
      <c r="F17" s="15">
        <f t="shared" si="3"/>
        <v>20000000</v>
      </c>
      <c r="G17" s="15">
        <f t="shared" si="3"/>
        <v>17500000</v>
      </c>
      <c r="H17" s="15">
        <f t="shared" si="3"/>
        <v>15000000</v>
      </c>
      <c r="I17" s="15">
        <f t="shared" si="3"/>
        <v>12500000</v>
      </c>
      <c r="J17" s="16">
        <f t="shared" si="3"/>
        <v>10000000</v>
      </c>
      <c r="K17" s="16">
        <f t="shared" si="3"/>
        <v>7500000</v>
      </c>
      <c r="L17" s="16">
        <f t="shared" si="3"/>
        <v>5000000</v>
      </c>
      <c r="M17" s="16">
        <f t="shared" si="3"/>
        <v>2500000</v>
      </c>
      <c r="N17" s="17">
        <f t="shared" si="3"/>
        <v>0</v>
      </c>
    </row>
    <row r="18" spans="2:14" x14ac:dyDescent="0.3">
      <c r="B18" s="1"/>
      <c r="C18" s="1"/>
      <c r="D18" s="1"/>
      <c r="E18" s="1"/>
      <c r="F18" s="1"/>
      <c r="G18" s="1"/>
      <c r="H18" s="1"/>
      <c r="I18" s="1"/>
    </row>
    <row r="19" spans="2:14" x14ac:dyDescent="0.3">
      <c r="B19" s="1" t="s">
        <v>97</v>
      </c>
      <c r="C19" s="1"/>
      <c r="D19" s="1"/>
      <c r="E19" s="1"/>
      <c r="F19" s="1"/>
      <c r="G19" s="1"/>
      <c r="H19" s="1"/>
      <c r="I19" s="1"/>
    </row>
    <row r="20" spans="2:14" x14ac:dyDescent="0.3">
      <c r="B20" s="1"/>
      <c r="C20" s="1" t="s">
        <v>20</v>
      </c>
      <c r="D20" s="4">
        <f t="shared" ref="D20:I20" si="4">D2</f>
        <v>2026</v>
      </c>
      <c r="E20" s="4">
        <f t="shared" si="4"/>
        <v>2027</v>
      </c>
      <c r="F20" s="4">
        <f t="shared" si="4"/>
        <v>2028</v>
      </c>
      <c r="G20" s="4">
        <f t="shared" si="4"/>
        <v>2029</v>
      </c>
      <c r="H20" s="4">
        <f t="shared" si="4"/>
        <v>2030</v>
      </c>
      <c r="I20" s="4">
        <f t="shared" si="4"/>
        <v>2031</v>
      </c>
    </row>
    <row r="21" spans="2:14" x14ac:dyDescent="0.3">
      <c r="B21" s="1" t="s">
        <v>98</v>
      </c>
      <c r="C21" s="1" t="s">
        <v>21</v>
      </c>
      <c r="D21" s="14">
        <f>'Fluxo de Caixa'!D6</f>
        <v>-27500000</v>
      </c>
      <c r="E21" s="15">
        <f>'Fluxo de Caixa'!E6</f>
        <v>3328044.5593750048</v>
      </c>
      <c r="F21" s="15">
        <f>'Fluxo de Caixa'!F6</f>
        <v>3457376.5645468812</v>
      </c>
      <c r="G21" s="15">
        <f>'Fluxo de Caixa'!G6</f>
        <v>3592528.5099514872</v>
      </c>
      <c r="H21" s="15">
        <f>'Fluxo de Caixa'!H6</f>
        <v>3733762.2928993059</v>
      </c>
      <c r="I21" s="15">
        <f>'Fluxo de Caixa'!I6</f>
        <v>3881351.5960797742</v>
      </c>
    </row>
    <row r="22" spans="2:14" x14ac:dyDescent="0.3">
      <c r="B22" s="1" t="s">
        <v>99</v>
      </c>
      <c r="C22" s="1" t="s">
        <v>21</v>
      </c>
      <c r="D22" s="14">
        <f>'Fluxo de Caixa'!D9</f>
        <v>-27500000</v>
      </c>
      <c r="E22" s="15">
        <f>'Fluxo de Caixa'!E9</f>
        <v>-24171955.440624997</v>
      </c>
      <c r="F22" s="15">
        <f>'Fluxo de Caixa'!F9</f>
        <v>-20714578.876078114</v>
      </c>
      <c r="G22" s="15">
        <f>'Fluxo de Caixa'!G9</f>
        <v>-17122050.366126627</v>
      </c>
      <c r="H22" s="15">
        <f>'Fluxo de Caixa'!H9</f>
        <v>-13388288.07322732</v>
      </c>
      <c r="I22" s="15">
        <f>'Fluxo de Caixa'!I9</f>
        <v>-9506936.4771475457</v>
      </c>
    </row>
    <row r="23" spans="2:14" x14ac:dyDescent="0.3">
      <c r="B23" s="1" t="s">
        <v>100</v>
      </c>
      <c r="C23" s="1" t="s">
        <v>4</v>
      </c>
      <c r="D23" s="5">
        <f>MIN(1,('Fluxo de Caixa'!D9+$D$9)/$D$9)</f>
        <v>0</v>
      </c>
      <c r="E23" s="15">
        <f>MIN(1,('Fluxo de Caixa'!E9+$D$9)/$D$9)</f>
        <v>0.12101980215909101</v>
      </c>
      <c r="F23" s="15">
        <f>MIN(1,('Fluxo de Caixa'!F9+$D$9)/$D$9)</f>
        <v>0.24674258632443222</v>
      </c>
      <c r="G23" s="15">
        <f>MIN(1,('Fluxo de Caixa'!G9+$D$9)/$D$9)</f>
        <v>0.37737998668630446</v>
      </c>
      <c r="H23" s="15">
        <f>MIN(1,('Fluxo de Caixa'!H9+$D$9)/$D$9)</f>
        <v>0.51315316097355201</v>
      </c>
      <c r="I23" s="15">
        <f>MIN(1,('Fluxo de Caixa'!I9+$D$9)/$D$9)</f>
        <v>0.65429321901281656</v>
      </c>
    </row>
    <row r="24" spans="2:14" x14ac:dyDescent="0.3">
      <c r="B24" s="1"/>
      <c r="C24" s="1"/>
      <c r="D24" s="1"/>
      <c r="E24" s="1"/>
      <c r="F24" s="1"/>
      <c r="G24" s="1"/>
      <c r="H24" s="1"/>
      <c r="I24" s="1"/>
    </row>
    <row r="25" spans="2:14" x14ac:dyDescent="0.3">
      <c r="B25" s="1" t="s">
        <v>101</v>
      </c>
      <c r="C25" s="1" t="s">
        <v>10</v>
      </c>
      <c r="D25" s="9" t="str">
        <f>'Fluxo de Caixa'!D18</f>
        <v>&gt;6</v>
      </c>
      <c r="E25" s="1"/>
      <c r="F25" s="1"/>
      <c r="G25" s="1"/>
      <c r="H25" s="1"/>
      <c r="I25" s="1"/>
    </row>
    <row r="26" spans="2:14" x14ac:dyDescent="0.3">
      <c r="B26" s="1" t="s">
        <v>102</v>
      </c>
      <c r="C26" s="1" t="s">
        <v>103</v>
      </c>
      <c r="D26" s="1" t="str" cm="1">
        <f t="array" ref="D26">IFERROR(INDEX($D$20:$I$20,MATCH(TRUE,INDEX($D$22:$I$22&gt;=0,0),0)),"&gt; 2030")</f>
        <v>&gt; 2030</v>
      </c>
      <c r="E26" s="1"/>
      <c r="F26" s="1"/>
      <c r="G26" s="1"/>
      <c r="H26" s="1"/>
      <c r="I26" s="1"/>
    </row>
    <row r="28" spans="2:14" x14ac:dyDescent="0.3">
      <c r="B28" s="1" t="s">
        <v>115</v>
      </c>
    </row>
    <row r="29" spans="2:14" x14ac:dyDescent="0.3">
      <c r="B29" s="1" t="s">
        <v>116</v>
      </c>
      <c r="C29" t="s">
        <v>3</v>
      </c>
      <c r="D29" s="20">
        <f>Premissas!D27</f>
        <v>361350</v>
      </c>
    </row>
    <row r="30" spans="2:14" x14ac:dyDescent="0.3">
      <c r="B30" s="1" t="s">
        <v>117</v>
      </c>
      <c r="C30" t="s">
        <v>118</v>
      </c>
      <c r="D30" s="21">
        <v>7000</v>
      </c>
    </row>
    <row r="31" spans="2:14" x14ac:dyDescent="0.3">
      <c r="B31" s="1" t="s">
        <v>119</v>
      </c>
      <c r="C31" t="s">
        <v>120</v>
      </c>
      <c r="D31" s="22">
        <f>D29/D30</f>
        <v>51.621428571428574</v>
      </c>
    </row>
    <row r="32" spans="2:14" x14ac:dyDescent="0.3">
      <c r="B32" s="1" t="s">
        <v>121</v>
      </c>
      <c r="C32" t="s">
        <v>120</v>
      </c>
      <c r="D32" s="23">
        <v>12</v>
      </c>
    </row>
    <row r="33" spans="2:4" x14ac:dyDescent="0.3">
      <c r="B33" s="1" t="s">
        <v>122</v>
      </c>
      <c r="C33" t="s">
        <v>40</v>
      </c>
      <c r="D33" s="19">
        <f>ROUNDUP(D31/D32,0)</f>
        <v>5</v>
      </c>
    </row>
    <row r="34" spans="2:4" x14ac:dyDescent="0.3">
      <c r="B34" s="1" t="s">
        <v>123</v>
      </c>
      <c r="C34" t="s">
        <v>21</v>
      </c>
      <c r="D34" s="24">
        <v>3000000</v>
      </c>
    </row>
    <row r="35" spans="2:4" x14ac:dyDescent="0.3">
      <c r="B35" s="1" t="s">
        <v>124</v>
      </c>
      <c r="C35" t="s">
        <v>21</v>
      </c>
      <c r="D35" s="25">
        <f>D33*D34</f>
        <v>15000000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0D18-8DA5-4E0F-B2EF-3E84530966BF}">
  <dimension ref="B1:I19"/>
  <sheetViews>
    <sheetView tabSelected="1" topLeftCell="B1" workbookViewId="0">
      <selection activeCell="G16" sqref="G16"/>
    </sheetView>
  </sheetViews>
  <sheetFormatPr defaultRowHeight="14.4" x14ac:dyDescent="0.3"/>
  <cols>
    <col min="1" max="1" width="55.5546875" customWidth="1"/>
    <col min="2" max="2" width="42.5546875" customWidth="1"/>
    <col min="3" max="3" width="13" customWidth="1"/>
    <col min="4" max="9" width="15.5546875" customWidth="1"/>
  </cols>
  <sheetData>
    <row r="1" spans="2:9" x14ac:dyDescent="0.3">
      <c r="B1" s="1" t="s">
        <v>84</v>
      </c>
      <c r="C1" s="1"/>
      <c r="D1" s="1"/>
      <c r="E1" s="1"/>
      <c r="F1" s="1"/>
      <c r="G1" s="1"/>
      <c r="H1" s="1"/>
      <c r="I1" s="1"/>
    </row>
    <row r="2" spans="2:9" x14ac:dyDescent="0.3">
      <c r="B2" s="1" t="s">
        <v>85</v>
      </c>
      <c r="C2" s="1" t="s">
        <v>20</v>
      </c>
      <c r="D2" s="4">
        <f>Premissas!D2</f>
        <v>2026</v>
      </c>
      <c r="E2" s="4">
        <f>D2+1</f>
        <v>2027</v>
      </c>
      <c r="F2" s="4">
        <f>E2+1</f>
        <v>2028</v>
      </c>
      <c r="G2" s="4">
        <f>F2+1</f>
        <v>2029</v>
      </c>
      <c r="H2" s="4">
        <f>G2+1</f>
        <v>2030</v>
      </c>
      <c r="I2" s="4">
        <f>H2+1</f>
        <v>2031</v>
      </c>
    </row>
    <row r="3" spans="2:9" x14ac:dyDescent="0.3">
      <c r="B3" s="1" t="s">
        <v>78</v>
      </c>
      <c r="C3" s="1" t="s">
        <v>21</v>
      </c>
      <c r="D3" s="15">
        <v>0</v>
      </c>
      <c r="E3" s="15">
        <f>DRE!E21</f>
        <v>828044.55937500484</v>
      </c>
      <c r="F3" s="15">
        <f>DRE!F21</f>
        <v>957376.56454688136</v>
      </c>
      <c r="G3" s="15">
        <f>DRE!G21</f>
        <v>1092528.5099514872</v>
      </c>
      <c r="H3" s="15">
        <f>DRE!H21</f>
        <v>1233762.2928993062</v>
      </c>
      <c r="I3" s="15">
        <f>DRE!I21</f>
        <v>1381351.5960797742</v>
      </c>
    </row>
    <row r="4" spans="2:9" x14ac:dyDescent="0.3">
      <c r="B4" s="1" t="s">
        <v>86</v>
      </c>
      <c r="C4" s="1" t="s">
        <v>21</v>
      </c>
      <c r="D4" s="15">
        <v>0</v>
      </c>
      <c r="E4" s="15">
        <f>DRE!E15</f>
        <v>2500000</v>
      </c>
      <c r="F4" s="15">
        <f>DRE!F15</f>
        <v>2500000</v>
      </c>
      <c r="G4" s="15">
        <f>DRE!G15</f>
        <v>2500000</v>
      </c>
      <c r="H4" s="15">
        <f>DRE!H15</f>
        <v>2500000</v>
      </c>
      <c r="I4" s="15">
        <f>DRE!I15</f>
        <v>2500000</v>
      </c>
    </row>
    <row r="5" spans="2:9" x14ac:dyDescent="0.3">
      <c r="B5" s="1" t="s">
        <v>87</v>
      </c>
      <c r="C5" s="1" t="s">
        <v>21</v>
      </c>
      <c r="D5" s="15">
        <f>-CAPEX!D9</f>
        <v>-27500000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</row>
    <row r="6" spans="2:9" x14ac:dyDescent="0.3">
      <c r="B6" s="1" t="s">
        <v>88</v>
      </c>
      <c r="C6" s="1" t="s">
        <v>21</v>
      </c>
      <c r="D6" s="15">
        <f>D3+D4+D5</f>
        <v>-27500000</v>
      </c>
      <c r="E6" s="15">
        <f>E3+E4+E5</f>
        <v>3328044.5593750048</v>
      </c>
      <c r="F6" s="15">
        <f t="shared" ref="F6:I6" si="0">F3+F4+F5</f>
        <v>3457376.5645468812</v>
      </c>
      <c r="G6" s="15">
        <f t="shared" si="0"/>
        <v>3592528.5099514872</v>
      </c>
      <c r="H6" s="15">
        <f t="shared" si="0"/>
        <v>3733762.2928993059</v>
      </c>
      <c r="I6" s="15">
        <f t="shared" si="0"/>
        <v>3881351.5960797742</v>
      </c>
    </row>
    <row r="7" spans="2:9" x14ac:dyDescent="0.3">
      <c r="B7" s="1" t="s">
        <v>89</v>
      </c>
      <c r="C7" s="1" t="s">
        <v>52</v>
      </c>
      <c r="D7" s="3">
        <f>1/(1+$D$13)^(D2-$D$2)</f>
        <v>1</v>
      </c>
      <c r="E7" s="3">
        <f>1/(1+$D$13)^(E2-$D$2)</f>
        <v>0.89285714285714279</v>
      </c>
      <c r="F7" s="3">
        <f t="shared" ref="F7:I7" si="1">1/(1+$D$13)^(F2-$D$2)</f>
        <v>0.79719387755102034</v>
      </c>
      <c r="G7" s="3">
        <f t="shared" si="1"/>
        <v>0.71178024781341087</v>
      </c>
      <c r="H7" s="3">
        <f t="shared" si="1"/>
        <v>0.63551807840483121</v>
      </c>
      <c r="I7" s="3">
        <f t="shared" si="1"/>
        <v>0.56742685571859919</v>
      </c>
    </row>
    <row r="8" spans="2:9" x14ac:dyDescent="0.3">
      <c r="B8" s="1" t="s">
        <v>15</v>
      </c>
      <c r="C8" s="1" t="s">
        <v>21</v>
      </c>
      <c r="D8" s="14">
        <f>D6*D7</f>
        <v>-27500000</v>
      </c>
      <c r="E8" s="15">
        <f>E6*E7</f>
        <v>2971468.3565848256</v>
      </c>
      <c r="F8" s="15">
        <f t="shared" ref="F8:I8" si="2">F6*F7</f>
        <v>2756199.4296451537</v>
      </c>
      <c r="G8" s="15">
        <f t="shared" si="2"/>
        <v>2557090.8330900134</v>
      </c>
      <c r="H8" s="15">
        <f t="shared" si="2"/>
        <v>2372873.4376037833</v>
      </c>
      <c r="I8" s="15">
        <f t="shared" si="2"/>
        <v>2202383.1321019125</v>
      </c>
    </row>
    <row r="9" spans="2:9" x14ac:dyDescent="0.3">
      <c r="B9" s="1" t="s">
        <v>16</v>
      </c>
      <c r="C9" s="1" t="s">
        <v>21</v>
      </c>
      <c r="D9" s="14">
        <f>D6</f>
        <v>-27500000</v>
      </c>
      <c r="E9" s="15">
        <f>D9+E6</f>
        <v>-24171955.440624997</v>
      </c>
      <c r="F9" s="15">
        <f t="shared" ref="F9:I9" si="3">E9+F6</f>
        <v>-20714578.876078114</v>
      </c>
      <c r="G9" s="15">
        <f t="shared" si="3"/>
        <v>-17122050.366126627</v>
      </c>
      <c r="H9" s="15">
        <f t="shared" si="3"/>
        <v>-13388288.07322732</v>
      </c>
      <c r="I9" s="15">
        <f t="shared" si="3"/>
        <v>-9506936.4771475457</v>
      </c>
    </row>
    <row r="10" spans="2:9" x14ac:dyDescent="0.3">
      <c r="B10" s="1" t="s">
        <v>17</v>
      </c>
      <c r="C10" s="1" t="s">
        <v>21</v>
      </c>
      <c r="D10" s="14">
        <f>D8</f>
        <v>-27500000</v>
      </c>
      <c r="E10" s="15">
        <f>D10+E8</f>
        <v>-24528531.643415175</v>
      </c>
      <c r="F10" s="15">
        <f t="shared" ref="F10:I10" si="4">E10+F8</f>
        <v>-21772332.213770021</v>
      </c>
      <c r="G10" s="15">
        <f t="shared" si="4"/>
        <v>-19215241.380680006</v>
      </c>
      <c r="H10" s="15">
        <f t="shared" si="4"/>
        <v>-16842367.943076223</v>
      </c>
      <c r="I10" s="15">
        <f t="shared" si="4"/>
        <v>-14639984.810974311</v>
      </c>
    </row>
    <row r="11" spans="2:9" x14ac:dyDescent="0.3">
      <c r="B11" s="1"/>
      <c r="C11" s="1"/>
      <c r="D11" s="1"/>
      <c r="E11" s="1"/>
      <c r="F11" s="1"/>
      <c r="G11" s="1"/>
      <c r="H11" s="1"/>
      <c r="I11" s="1"/>
    </row>
    <row r="12" spans="2:9" x14ac:dyDescent="0.3">
      <c r="B12" s="1" t="s">
        <v>18</v>
      </c>
      <c r="C12" s="1"/>
      <c r="D12" s="1"/>
      <c r="E12" s="1"/>
      <c r="F12" s="1"/>
      <c r="G12" s="1"/>
      <c r="H12" s="1"/>
      <c r="I12" s="1"/>
    </row>
    <row r="13" spans="2:9" x14ac:dyDescent="0.3">
      <c r="B13" s="1" t="s">
        <v>90</v>
      </c>
      <c r="C13" s="1" t="s">
        <v>32</v>
      </c>
      <c r="D13" s="8">
        <v>0.12</v>
      </c>
      <c r="E13" s="1"/>
      <c r="F13" s="1"/>
      <c r="G13" s="1"/>
      <c r="H13" s="1"/>
      <c r="I13" s="1"/>
    </row>
    <row r="14" spans="2:9" x14ac:dyDescent="0.3">
      <c r="B14" s="1" t="s">
        <v>91</v>
      </c>
      <c r="C14" s="1" t="s">
        <v>21</v>
      </c>
      <c r="D14" s="15">
        <f>CAPEX!D9</f>
        <v>27500000</v>
      </c>
      <c r="E14" s="1"/>
      <c r="F14" s="1"/>
      <c r="G14" s="1"/>
      <c r="H14" s="1"/>
      <c r="I14" s="1"/>
    </row>
    <row r="15" spans="2:9" x14ac:dyDescent="0.3">
      <c r="B15" s="1" t="s">
        <v>92</v>
      </c>
      <c r="C15" s="1" t="s">
        <v>21</v>
      </c>
      <c r="D15" s="15">
        <f>SUM(D8:I8)</f>
        <v>-14639984.810974311</v>
      </c>
      <c r="E15" s="1"/>
      <c r="F15" s="1"/>
      <c r="G15" s="1"/>
      <c r="H15" s="1"/>
      <c r="I15" s="1"/>
    </row>
    <row r="16" spans="2:9" x14ac:dyDescent="0.3">
      <c r="B16" s="1" t="s">
        <v>93</v>
      </c>
      <c r="C16" s="1" t="s">
        <v>4</v>
      </c>
      <c r="D16" s="5">
        <f>IRR(D6:I6)</f>
        <v>-0.12386935474408733</v>
      </c>
      <c r="E16" s="1"/>
      <c r="F16" s="1"/>
      <c r="G16" s="1"/>
      <c r="H16" s="1"/>
      <c r="I16" s="1"/>
    </row>
    <row r="17" spans="2:9" x14ac:dyDescent="0.3">
      <c r="B17" s="1" t="s">
        <v>94</v>
      </c>
      <c r="C17" s="1" t="s">
        <v>4</v>
      </c>
      <c r="D17" s="5">
        <f>(SUM(E6:I6)-D14)/D14</f>
        <v>-0.34570678098718349</v>
      </c>
      <c r="E17" s="1"/>
      <c r="F17" s="1"/>
      <c r="G17" s="1"/>
      <c r="H17" s="1"/>
      <c r="I17" s="1"/>
    </row>
    <row r="18" spans="2:9" x14ac:dyDescent="0.3">
      <c r="B18" s="1" t="s">
        <v>95</v>
      </c>
      <c r="C18" s="1" t="s">
        <v>10</v>
      </c>
      <c r="D18" s="9" t="str" cm="1">
        <f t="array" ref="D18">IFERROR((COUNTIF(D9:I9,"&lt;0")-1)+(-INDEX(D9:I9,COUNTIF(D9:I9,"&lt;0")))/INDEX(D6:I6,COUNTIF(D9:I9,"&lt;0")+1),"&gt;6")</f>
        <v>&gt;6</v>
      </c>
      <c r="E18" s="1"/>
      <c r="F18" s="1"/>
      <c r="G18" s="1"/>
      <c r="H18" s="1"/>
      <c r="I18" s="1"/>
    </row>
    <row r="19" spans="2:9" x14ac:dyDescent="0.3">
      <c r="B19" s="1" t="s">
        <v>96</v>
      </c>
      <c r="C19" s="1" t="s">
        <v>10</v>
      </c>
      <c r="D19" s="9" t="str" cm="1">
        <f t="array" ref="D19">IFERROR((COUNTIF(D10:I10,"&lt;0")-1)+(-INDEX(D10:I10,COUNTIF(D10:I10,"&lt;0")))/INDEX(D8:I8,COUNTIF(D10:I10,"&lt;0")+1),"&gt;6")</f>
        <v>&gt;6</v>
      </c>
      <c r="E19" s="1"/>
      <c r="F19" s="1"/>
      <c r="G19" s="1"/>
      <c r="H19" s="1"/>
      <c r="I1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Premissas</vt:lpstr>
      <vt:lpstr>DRE</vt:lpstr>
      <vt:lpstr>CAPEX</vt:lpstr>
      <vt:lpstr>Fluxo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Galatro</dc:creator>
  <cp:lastModifiedBy>Mateus Galatro</cp:lastModifiedBy>
  <dcterms:created xsi:type="dcterms:W3CDTF">2026-06-20T18:40:47Z</dcterms:created>
  <dcterms:modified xsi:type="dcterms:W3CDTF">2026-06-26T17:09:08Z</dcterms:modified>
</cp:coreProperties>
</file>